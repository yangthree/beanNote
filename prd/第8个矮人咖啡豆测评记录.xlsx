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00" windowHeight="12540"/>
  </bookViews>
  <sheets>
    <sheet name="意式" sheetId="1" r:id="rId1"/>
    <sheet name="手冲" sheetId="2" r:id="rId2"/>
    <sheet name="评分图" sheetId="3" r:id="rId3"/>
    <sheet name="Sheet4" sheetId="4" r:id="rId4"/>
  </sheets>
  <definedNames>
    <definedName name="_xlnm._FilterDatabase" localSheetId="0" hidden="1">意式!$A$1:$M$440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<sst xmlns="http://schemas.openxmlformats.org/spreadsheetml/2006/main" count="3041" uniqueCount="1774">
  <si>
    <t>编号</t>
  </si>
  <si>
    <t>品牌</t>
  </si>
  <si>
    <t>产区</t>
  </si>
  <si>
    <t>豆子名称</t>
  </si>
  <si>
    <t>风味描述</t>
  </si>
  <si>
    <t>参考价格/规格</t>
  </si>
  <si>
    <t>每百克价格</t>
  </si>
  <si>
    <t>优点</t>
  </si>
  <si>
    <t>缺点</t>
  </si>
  <si>
    <t>最新评分</t>
  </si>
  <si>
    <t>萃取建议</t>
  </si>
  <si>
    <t>首测日期</t>
  </si>
  <si>
    <t>复测日期</t>
  </si>
  <si>
    <t>治光师</t>
  </si>
  <si>
    <t>埃塞</t>
  </si>
  <si>
    <t>野草莓</t>
  </si>
  <si>
    <t>草莓酱 甜橙</t>
  </si>
  <si>
    <t>128/450</t>
  </si>
  <si>
    <t>甜感在线 风味明显</t>
  </si>
  <si>
    <t xml:space="preserve">略有瑕疵 干净度弱 </t>
  </si>
  <si>
    <t>4-</t>
  </si>
  <si>
    <t>拼配</t>
  </si>
  <si>
    <t>北野拼配</t>
  </si>
  <si>
    <t>奶油 香料 黑巧</t>
  </si>
  <si>
    <t>整体均衡</t>
  </si>
  <si>
    <t>分子</t>
  </si>
  <si>
    <t>液体芝士</t>
  </si>
  <si>
    <t>芝士 可可</t>
  </si>
  <si>
    <t>62/227</t>
  </si>
  <si>
    <t>风味明显 性价比高</t>
  </si>
  <si>
    <t>触感稍薄</t>
  </si>
  <si>
    <t>乔治队长</t>
  </si>
  <si>
    <t>黑猫拼配</t>
  </si>
  <si>
    <t>焦糖 黑巧</t>
  </si>
  <si>
    <t>75/454</t>
  </si>
  <si>
    <t>性价比高 整体均衡</t>
  </si>
  <si>
    <t>风味指向弱</t>
  </si>
  <si>
    <t>启程拓殖</t>
  </si>
  <si>
    <t>奶油葡萄</t>
  </si>
  <si>
    <t>葡萄干 朗姆酒</t>
  </si>
  <si>
    <t>59/200</t>
  </si>
  <si>
    <t>风味明显 甜感高</t>
  </si>
  <si>
    <t>触感稍弱 微有酵感</t>
  </si>
  <si>
    <t>冰淇淋甜橙</t>
  </si>
  <si>
    <t>冰淇淋 复合浆果 甜橙</t>
  </si>
  <si>
    <t>66/200</t>
  </si>
  <si>
    <t>风味强度偏弱</t>
  </si>
  <si>
    <t>良致</t>
  </si>
  <si>
    <t>甜地球</t>
  </si>
  <si>
    <t>甜葡萄 蜂蜜</t>
  </si>
  <si>
    <t>68/200</t>
  </si>
  <si>
    <t>甜感高</t>
  </si>
  <si>
    <t>AOKKA</t>
  </si>
  <si>
    <t>花魁soe</t>
  </si>
  <si>
    <t>花香 莓果酸质</t>
  </si>
  <si>
    <t>60/250</t>
  </si>
  <si>
    <t>性价比高 风味尚可</t>
  </si>
  <si>
    <t>瑕疵率高 味道稍杂</t>
  </si>
  <si>
    <t>余未</t>
  </si>
  <si>
    <t>意式拼配</t>
  </si>
  <si>
    <t>黑巧 烟熏 木质</t>
  </si>
  <si>
    <t>78/227</t>
  </si>
  <si>
    <t>无</t>
  </si>
  <si>
    <t>瑕疵率高 风味差 广告多</t>
  </si>
  <si>
    <t>艾思品</t>
  </si>
  <si>
    <t>流心巴斯克</t>
  </si>
  <si>
    <t>芝士蛋糕 奶油饼干</t>
  </si>
  <si>
    <t>73/227</t>
  </si>
  <si>
    <t>风味明显 奶香丰富</t>
  </si>
  <si>
    <t xml:space="preserve">触感稍薄 </t>
  </si>
  <si>
    <t>明谦</t>
  </si>
  <si>
    <t>教父</t>
  </si>
  <si>
    <t>坚果 木质</t>
  </si>
  <si>
    <t>39/200</t>
  </si>
  <si>
    <t xml:space="preserve">醇厚度高 </t>
  </si>
  <si>
    <t>风味差 负面明显 广告多</t>
  </si>
  <si>
    <t>疣猪拼配</t>
  </si>
  <si>
    <t>黑巧 坚果</t>
  </si>
  <si>
    <t>性价比高 醇厚度高</t>
  </si>
  <si>
    <t>味道稍杂 略有烟熏</t>
  </si>
  <si>
    <t>大咖岛</t>
  </si>
  <si>
    <t>意式特浓</t>
  </si>
  <si>
    <t>柠檬 蜂蜜 薄荷</t>
  </si>
  <si>
    <t>82/454</t>
  </si>
  <si>
    <t>风味强度弱 层次弱</t>
  </si>
  <si>
    <t>Coffee Buff</t>
  </si>
  <si>
    <t>朱古力buff</t>
  </si>
  <si>
    <t>烤杏仁 焦糖 木质</t>
  </si>
  <si>
    <t>76/250</t>
  </si>
  <si>
    <t>甜感尚可</t>
  </si>
  <si>
    <t>不耐萃 略有负面</t>
  </si>
  <si>
    <t>野刺猬</t>
  </si>
  <si>
    <t>哥伦果酥</t>
  </si>
  <si>
    <t>奶油 苹果 坚果</t>
  </si>
  <si>
    <t>68/227</t>
  </si>
  <si>
    <t>触感尚可 整体均衡</t>
  </si>
  <si>
    <t>风味指向性弱</t>
  </si>
  <si>
    <t>河川水流</t>
  </si>
  <si>
    <t>黄金温泉</t>
  </si>
  <si>
    <t>柑橘 红色浆果 芝士</t>
  </si>
  <si>
    <t>65/200</t>
  </si>
  <si>
    <t>风味明显 整体均衡</t>
  </si>
  <si>
    <t>美式酸质稍沉闷</t>
  </si>
  <si>
    <t>布雷克</t>
  </si>
  <si>
    <t>原生瑰夏</t>
  </si>
  <si>
    <t>花香 莓果</t>
  </si>
  <si>
    <t>64/250</t>
  </si>
  <si>
    <t>花香明显 性价比尚可</t>
  </si>
  <si>
    <t>触感稍弱 甜感稍弱</t>
  </si>
  <si>
    <t>液体黑巧</t>
  </si>
  <si>
    <t>巧克力 榛子 可可</t>
  </si>
  <si>
    <t>39/227</t>
  </si>
  <si>
    <t>性价比高 风味明显 触感尚可</t>
  </si>
  <si>
    <t>干净度稍弱</t>
  </si>
  <si>
    <t>云澜庄园</t>
  </si>
  <si>
    <t>云南</t>
  </si>
  <si>
    <t>柚子巴斯克</t>
  </si>
  <si>
    <t>柚子 黄油 芝士</t>
  </si>
  <si>
    <t>46.8/250</t>
  </si>
  <si>
    <t>性价比高 柚子风味明显</t>
  </si>
  <si>
    <t>瑕疵率高 味道杂 甜感稍弱</t>
  </si>
  <si>
    <t>3+</t>
  </si>
  <si>
    <t>Joker</t>
  </si>
  <si>
    <t>茶花女</t>
  </si>
  <si>
    <t>花茶 绿茶 柑橘</t>
  </si>
  <si>
    <t>74/227</t>
  </si>
  <si>
    <t>花香四溢 奶咖清爽</t>
  </si>
  <si>
    <t>醇厚度稍低</t>
  </si>
  <si>
    <t>任天糖</t>
  </si>
  <si>
    <t>蜂蜜 花香</t>
  </si>
  <si>
    <t>68/150</t>
  </si>
  <si>
    <t>甜感在线 花香明显</t>
  </si>
  <si>
    <t>层次感稍弱 性价比偏低</t>
  </si>
  <si>
    <t>Wood</t>
  </si>
  <si>
    <t>野子奶糖</t>
  </si>
  <si>
    <t>椰子奶糖 太妃糖</t>
  </si>
  <si>
    <t>25/227</t>
  </si>
  <si>
    <t>甜感高 风味具象 性价比高</t>
  </si>
  <si>
    <t>触感差</t>
  </si>
  <si>
    <t>白鲸</t>
  </si>
  <si>
    <t>沙丘</t>
  </si>
  <si>
    <t>红色莓果 桃子 花香</t>
  </si>
  <si>
    <t>87/200</t>
  </si>
  <si>
    <t>美式微有酵感 酸质略尖涩</t>
  </si>
  <si>
    <t>4+</t>
  </si>
  <si>
    <t>奶咖</t>
  </si>
  <si>
    <t>蓝瓶子</t>
  </si>
  <si>
    <t>传奇律动</t>
  </si>
  <si>
    <t>可可 饼干</t>
  </si>
  <si>
    <t>138/200</t>
  </si>
  <si>
    <t>整体均衡 干净</t>
  </si>
  <si>
    <t>性价比低 风味指向弱</t>
  </si>
  <si>
    <t>3-</t>
  </si>
  <si>
    <t>瑰夏自由4.0</t>
  </si>
  <si>
    <t>花香 柑橘 桃子</t>
  </si>
  <si>
    <t>106/250</t>
  </si>
  <si>
    <t>香气明显 甜感充足</t>
  </si>
  <si>
    <t>捌比特</t>
  </si>
  <si>
    <t>耶加雪菲soe</t>
  </si>
  <si>
    <t>糖渍柠檬 树莓</t>
  </si>
  <si>
    <t>38/100</t>
  </si>
  <si>
    <t>酸质尚可</t>
  </si>
  <si>
    <t>风味不足 味道略杂</t>
  </si>
  <si>
    <t>Bob</t>
  </si>
  <si>
    <t xml:space="preserve">花香 柑橘 </t>
  </si>
  <si>
    <t>60/227</t>
  </si>
  <si>
    <t xml:space="preserve">风味明显 </t>
  </si>
  <si>
    <t>甜感稍弱 稍有杂味</t>
  </si>
  <si>
    <t>西海岸</t>
  </si>
  <si>
    <t>蜜瓜 西瓜 水果糖</t>
  </si>
  <si>
    <t>72/200</t>
  </si>
  <si>
    <t>风味明显 清爽</t>
  </si>
  <si>
    <t>触感稍弱</t>
  </si>
  <si>
    <t>隔壁工坊</t>
  </si>
  <si>
    <t>五羊拼配</t>
  </si>
  <si>
    <t xml:space="preserve">雪糕冰淇淋 </t>
  </si>
  <si>
    <t>龙眼coe版</t>
  </si>
  <si>
    <t>红提 石榴 木瓜</t>
  </si>
  <si>
    <t>63/200</t>
  </si>
  <si>
    <t>水果风味明显 整体均衡</t>
  </si>
  <si>
    <t>略有酵感</t>
  </si>
  <si>
    <t>扑满</t>
  </si>
  <si>
    <t>5号拼配</t>
  </si>
  <si>
    <t>黄油饼干</t>
  </si>
  <si>
    <t>42/200</t>
  </si>
  <si>
    <t>醇厚度尚可</t>
  </si>
  <si>
    <t>风味不足 触感稍弱</t>
  </si>
  <si>
    <t>Littlemango</t>
  </si>
  <si>
    <t>奶砖拿铁</t>
  </si>
  <si>
    <t>花香 香草冰淇淋</t>
  </si>
  <si>
    <t>58/200</t>
  </si>
  <si>
    <t>整体均衡 冰淇淋感明显</t>
  </si>
  <si>
    <t>绝对小孩</t>
  </si>
  <si>
    <t>低因拼配</t>
  </si>
  <si>
    <t>芝士 黄油比你哥哥</t>
  </si>
  <si>
    <t>88/250</t>
  </si>
  <si>
    <t>低因 芝士风味尚可</t>
  </si>
  <si>
    <t>风味单一且强度弱</t>
  </si>
  <si>
    <t>Iris</t>
  </si>
  <si>
    <t>Ink拼配</t>
  </si>
  <si>
    <t>巧克力 烤榛子 烤杏仁</t>
  </si>
  <si>
    <t>价格便宜 触感尚可</t>
  </si>
  <si>
    <t>风味不足 味道稍杂</t>
  </si>
  <si>
    <t>有事没事</t>
  </si>
  <si>
    <t>黄油拼配</t>
  </si>
  <si>
    <t>黄油 烤杏仁</t>
  </si>
  <si>
    <t>40/227</t>
  </si>
  <si>
    <t>风味不足</t>
  </si>
  <si>
    <t>巴别塔</t>
  </si>
  <si>
    <t>黄油饼干 烤榛子 焦糖</t>
  </si>
  <si>
    <t>58/227</t>
  </si>
  <si>
    <t>整体均衡 甜感在线 触感在线</t>
  </si>
  <si>
    <t>摆脱冷气</t>
  </si>
  <si>
    <t>莓果 核果 水果酒</t>
  </si>
  <si>
    <t>微有酵感</t>
  </si>
  <si>
    <t>适当降低萃取率</t>
  </si>
  <si>
    <t>Seesaw</t>
  </si>
  <si>
    <t>鹦鹉拼配</t>
  </si>
  <si>
    <t>可可 焦糊 硫化物</t>
  </si>
  <si>
    <t>50/200</t>
  </si>
  <si>
    <t>瑕疵豆多 风味弱 负面明显</t>
  </si>
  <si>
    <t>白巧克力</t>
  </si>
  <si>
    <t>白巧 杏仁 红茶</t>
  </si>
  <si>
    <t>甜感在线 触感好</t>
  </si>
  <si>
    <t>稍腻</t>
  </si>
  <si>
    <t>奶油泡芙</t>
  </si>
  <si>
    <t>烤杏仁 可可 奶油</t>
  </si>
  <si>
    <t>48/200</t>
  </si>
  <si>
    <t>触感尚可</t>
  </si>
  <si>
    <t>风味不足 不耐萃</t>
  </si>
  <si>
    <t>Yaye</t>
  </si>
  <si>
    <t>饼干 坚果</t>
  </si>
  <si>
    <t>88/200</t>
  </si>
  <si>
    <t>风味不足 性价比偏低</t>
  </si>
  <si>
    <t>Rustic Roots</t>
  </si>
  <si>
    <t>油画向日葵</t>
  </si>
  <si>
    <t>奶油 焦糖</t>
  </si>
  <si>
    <t>50/227</t>
  </si>
  <si>
    <t>触感尚可 甜感尚可</t>
  </si>
  <si>
    <t xml:space="preserve">风味一般 </t>
  </si>
  <si>
    <t>牛小咖</t>
  </si>
  <si>
    <t>说晚安（低因）</t>
  </si>
  <si>
    <t>坚果 可可</t>
  </si>
  <si>
    <t>78/300</t>
  </si>
  <si>
    <t>低因</t>
  </si>
  <si>
    <t>风味一般 触感差</t>
  </si>
  <si>
    <t>有容乃大</t>
  </si>
  <si>
    <t>埃塞之歌</t>
  </si>
  <si>
    <t>105/200</t>
  </si>
  <si>
    <t>香气在线</t>
  </si>
  <si>
    <t>性价比稍低 略有发酵感</t>
  </si>
  <si>
    <t>皮爷</t>
  </si>
  <si>
    <t>大航海家</t>
  </si>
  <si>
    <t>烤榛子 麦芽糖 黑巧</t>
  </si>
  <si>
    <t>108/250</t>
  </si>
  <si>
    <t>瑕疵率高 性价比低</t>
  </si>
  <si>
    <t>河传水流</t>
  </si>
  <si>
    <t>粉色湖泊</t>
  </si>
  <si>
    <t>桃子 花茶 咖啡花</t>
  </si>
  <si>
    <t>香气明显</t>
  </si>
  <si>
    <t>性价比偏低</t>
  </si>
  <si>
    <t>粉象拼配</t>
  </si>
  <si>
    <t xml:space="preserve">柑橘酸 花香 蜜瓜余韵 </t>
  </si>
  <si>
    <t>128/454</t>
  </si>
  <si>
    <t>味道丰富 余韵微妙</t>
  </si>
  <si>
    <t>奶咖稍腻</t>
  </si>
  <si>
    <t>大家瑰袖</t>
  </si>
  <si>
    <t>深色莓果 焦糖 坚果</t>
  </si>
  <si>
    <t>79/250</t>
  </si>
  <si>
    <t>风味偏弱 干净度稍差</t>
  </si>
  <si>
    <t>新航线</t>
  </si>
  <si>
    <t>黑莓 饼干</t>
  </si>
  <si>
    <t>90/454</t>
  </si>
  <si>
    <t>整体均衡 干净度尚可</t>
  </si>
  <si>
    <t>风味偏弱</t>
  </si>
  <si>
    <t>哈马修soe</t>
  </si>
  <si>
    <t>青柚 柑橘 覆盆子</t>
  </si>
  <si>
    <t>香气明显 余韵清爽</t>
  </si>
  <si>
    <t>佩植</t>
  </si>
  <si>
    <t>纽约曲奇</t>
  </si>
  <si>
    <t>黄油饼干 烤杏仁</t>
  </si>
  <si>
    <t>42/150</t>
  </si>
  <si>
    <t>风味指向弱 瑕疵率略高 广告多</t>
  </si>
  <si>
    <t>Softpillow</t>
  </si>
  <si>
    <t>紫葡萄</t>
  </si>
  <si>
    <t>紫葡萄 发酵感 八角</t>
  </si>
  <si>
    <t>82/227</t>
  </si>
  <si>
    <t>发酵感太重</t>
  </si>
  <si>
    <t>牛奶公司</t>
  </si>
  <si>
    <t>鲜花饼 费列罗巧克力</t>
  </si>
  <si>
    <t>71/200</t>
  </si>
  <si>
    <t>甜感高 干净</t>
  </si>
  <si>
    <t>风味指向弱 性价比微低</t>
  </si>
  <si>
    <t>珂来茉庄园</t>
  </si>
  <si>
    <t>莫妮低苹果园</t>
  </si>
  <si>
    <t>苹果酸 焦苦 烟熏</t>
  </si>
  <si>
    <t>39.2/225</t>
  </si>
  <si>
    <t>负面风味明显</t>
  </si>
  <si>
    <t>热带雨</t>
  </si>
  <si>
    <t>花香 柑橘 热带水果</t>
  </si>
  <si>
    <t>50.8/227</t>
  </si>
  <si>
    <t>性价比高 整体干净 甜感尚可</t>
  </si>
  <si>
    <t>查理工厂</t>
  </si>
  <si>
    <t>黄油饼干 烤杏仁 白巧</t>
  </si>
  <si>
    <t>48/120</t>
  </si>
  <si>
    <t>触感好 干净度高</t>
  </si>
  <si>
    <t>休息日</t>
  </si>
  <si>
    <t>柑橘 枫糖 红茶</t>
  </si>
  <si>
    <t>55.8/227</t>
  </si>
  <si>
    <t>甜感高 性价比高</t>
  </si>
  <si>
    <t>四人</t>
  </si>
  <si>
    <t>橙蜜</t>
  </si>
  <si>
    <t>橙子 花香</t>
  </si>
  <si>
    <t>88/454</t>
  </si>
  <si>
    <t>风味具象 甜感高 性价比高</t>
  </si>
  <si>
    <t>层次感稍弱 疑似增味</t>
  </si>
  <si>
    <t>艾榕</t>
  </si>
  <si>
    <t>罗豆拼配</t>
  </si>
  <si>
    <t>焦苦 烟熏</t>
  </si>
  <si>
    <t>72/227</t>
  </si>
  <si>
    <t>风味差 价格高 广告多</t>
  </si>
  <si>
    <t>布朗生巧</t>
  </si>
  <si>
    <t>巧克力 烤吐司 香料余韵</t>
  </si>
  <si>
    <t>63/227</t>
  </si>
  <si>
    <t>触感好 干净 风味具象</t>
  </si>
  <si>
    <t>层次感稍弱</t>
  </si>
  <si>
    <t>饼干罐</t>
  </si>
  <si>
    <t>黄油饼干 焦糖 奶油</t>
  </si>
  <si>
    <t>42/227</t>
  </si>
  <si>
    <t>触感顺滑 均衡 性价比高</t>
  </si>
  <si>
    <t>河汉</t>
  </si>
  <si>
    <t>综合拼配</t>
  </si>
  <si>
    <t>坚果 巧克力 焦糖</t>
  </si>
  <si>
    <t>79/500</t>
  </si>
  <si>
    <t>风味指向弱 层次感稍弱</t>
  </si>
  <si>
    <t>豆叔</t>
  </si>
  <si>
    <t>醇爵士</t>
  </si>
  <si>
    <t>焦糖 坚果 黑巧</t>
  </si>
  <si>
    <t>49.9/454</t>
  </si>
  <si>
    <t>便宜</t>
  </si>
  <si>
    <t>瑕疵率高 风味一般</t>
  </si>
  <si>
    <t>花丛中</t>
  </si>
  <si>
    <t>金盏花 尤加利 樱桃 红酒</t>
  </si>
  <si>
    <t>118.8/227</t>
  </si>
  <si>
    <t>香气明显 层次丰富</t>
  </si>
  <si>
    <t>小贵 奶咖一般</t>
  </si>
  <si>
    <t>美式</t>
  </si>
  <si>
    <t>草莓派</t>
  </si>
  <si>
    <t>草莓酱 橙子 奶油</t>
  </si>
  <si>
    <t>69/200</t>
  </si>
  <si>
    <t>酸质干净 甜感高 果汁触感</t>
  </si>
  <si>
    <t>暂无</t>
  </si>
  <si>
    <t>那条龙</t>
  </si>
  <si>
    <t>蜂蜜 乳酪 杏桃</t>
  </si>
  <si>
    <t>美式风味偏弱</t>
  </si>
  <si>
    <t>熔岩可可</t>
  </si>
  <si>
    <t>黑巧 焦苦 木质</t>
  </si>
  <si>
    <t>39/150</t>
  </si>
  <si>
    <t>性价比低 风味差  广告多</t>
  </si>
  <si>
    <t>变色龙</t>
  </si>
  <si>
    <t>坠入爱河</t>
  </si>
  <si>
    <t>酒香 发酵酸</t>
  </si>
  <si>
    <t>30/114</t>
  </si>
  <si>
    <t>发酵感重 风味偏弱</t>
  </si>
  <si>
    <t>阳光耶加soe</t>
  </si>
  <si>
    <t>水果糖 陈皮 红茶</t>
  </si>
  <si>
    <t>73/200</t>
  </si>
  <si>
    <t>均衡干净 余韵尚可</t>
  </si>
  <si>
    <t>达摩soe</t>
  </si>
  <si>
    <t>甜橙 花香 白巧</t>
  </si>
  <si>
    <t>甜感高 香气明显</t>
  </si>
  <si>
    <t>龙眼</t>
  </si>
  <si>
    <t>巴旦木 蜂蜜 龙眼</t>
  </si>
  <si>
    <t>甜感高 整体均衡</t>
  </si>
  <si>
    <t>风味不突出 触感稍差</t>
  </si>
  <si>
    <t>奶油嘎啦果</t>
  </si>
  <si>
    <t>苹果派 奶油</t>
  </si>
  <si>
    <t>87/227</t>
  </si>
  <si>
    <t>性价比低 苦涩明显</t>
  </si>
  <si>
    <t>豆乳盒子</t>
  </si>
  <si>
    <t>豆乳 豆浆</t>
  </si>
  <si>
    <t>85/227</t>
  </si>
  <si>
    <t>奶咖风味明显</t>
  </si>
  <si>
    <t>触感差 性价比低</t>
  </si>
  <si>
    <t>Tomfee</t>
  </si>
  <si>
    <t>瑰夏soe</t>
  </si>
  <si>
    <t>花香 苹果 白巧</t>
  </si>
  <si>
    <t>36/100</t>
  </si>
  <si>
    <t>奶咖香气明显 甜感高</t>
  </si>
  <si>
    <t>美式一般</t>
  </si>
  <si>
    <t>哥伦比亚</t>
  </si>
  <si>
    <t>雪花酥 杏仁 黄糖 绿茶</t>
  </si>
  <si>
    <t>114/250</t>
  </si>
  <si>
    <t>甜感高 干净度高</t>
  </si>
  <si>
    <t>性价比稍低</t>
  </si>
  <si>
    <t>黑豹拼配</t>
  </si>
  <si>
    <t>黑巧 枫糖</t>
  </si>
  <si>
    <t>94/454</t>
  </si>
  <si>
    <t>整体干净 性价比高 奶咖甜感高</t>
  </si>
  <si>
    <t>风味指向弱 略有瑕疵</t>
  </si>
  <si>
    <t>夏夏浓</t>
  </si>
  <si>
    <t>果酱 白巧 冰淇淋</t>
  </si>
  <si>
    <t>93/227</t>
  </si>
  <si>
    <t xml:space="preserve">风味突出 甜感高 </t>
  </si>
  <si>
    <t>稍贵</t>
  </si>
  <si>
    <t>小火炉</t>
  </si>
  <si>
    <t>热红酒 迷迭香 奶油可可</t>
  </si>
  <si>
    <t>酒香明显 甜感高</t>
  </si>
  <si>
    <t>触感偏弱 余韵弱 发酵感稍重</t>
  </si>
  <si>
    <t>Danny Boy</t>
  </si>
  <si>
    <t>烤榛子 黑巧</t>
  </si>
  <si>
    <t>56/200</t>
  </si>
  <si>
    <t>性价比稍低 缺乏风味特点</t>
  </si>
  <si>
    <t>落日香草</t>
  </si>
  <si>
    <t>香草 百利甜</t>
  </si>
  <si>
    <t>58/150</t>
  </si>
  <si>
    <t>风味明显</t>
  </si>
  <si>
    <t>触感差 味道偏杂 广告多 性价比低</t>
  </si>
  <si>
    <t>海狮拼配</t>
  </si>
  <si>
    <t>太妃糖 焦糖 橘子糖</t>
  </si>
  <si>
    <t>95/454</t>
  </si>
  <si>
    <t>触感差 层次感弱</t>
  </si>
  <si>
    <t>八平方</t>
  </si>
  <si>
    <t>花香 杏干 白巧</t>
  </si>
  <si>
    <t>65/250</t>
  </si>
  <si>
    <t>花香明显 甜感高 性价比高</t>
  </si>
  <si>
    <t>落日绵巧</t>
  </si>
  <si>
    <t>黑巧 烟熏 坚果</t>
  </si>
  <si>
    <t>53/500</t>
  </si>
  <si>
    <t>瑕疵率高 风味差 触感差</t>
  </si>
  <si>
    <t>瑰夏自由</t>
  </si>
  <si>
    <t>橙花 橘子糖 红茶 白巧</t>
  </si>
  <si>
    <t>108/200</t>
  </si>
  <si>
    <t>花香明显 均衡</t>
  </si>
  <si>
    <t>略贵 触感稍薄</t>
  </si>
  <si>
    <t>美洲豹</t>
  </si>
  <si>
    <t>榛子 太妃糖 焦苦</t>
  </si>
  <si>
    <t>风味差 触感差 广告多</t>
  </si>
  <si>
    <t>辛鹿</t>
  </si>
  <si>
    <t>白巧曲奇</t>
  </si>
  <si>
    <t>曲奇饼干 白巧</t>
  </si>
  <si>
    <t>46/252</t>
  </si>
  <si>
    <t>甜感在线 性价比高 包装方便</t>
  </si>
  <si>
    <t>风味前度稍弱</t>
  </si>
  <si>
    <t>逸摸鱼</t>
  </si>
  <si>
    <t>花魁7.0（手冲）</t>
  </si>
  <si>
    <t>花香 热带水果</t>
  </si>
  <si>
    <t>36/150</t>
  </si>
  <si>
    <t>性价比高 甜感高 花香明显</t>
  </si>
  <si>
    <t>Gee</t>
  </si>
  <si>
    <t>香水soe</t>
  </si>
  <si>
    <t>花香 热带水果 草莓奶昔 奶茶</t>
  </si>
  <si>
    <t>169/227</t>
  </si>
  <si>
    <t>香气丰富 余韵微妙</t>
  </si>
  <si>
    <t>触感稍薄 价格偏贵</t>
  </si>
  <si>
    <t>4.5-</t>
  </si>
  <si>
    <t>Shoegaze 联名款</t>
  </si>
  <si>
    <t>菠萝蜜 巴斯克蛋糕 冰淇淋</t>
  </si>
  <si>
    <t>干净清爽 奶咖甜感在线</t>
  </si>
  <si>
    <t>美式相对一般</t>
  </si>
  <si>
    <t>Rightpaw</t>
  </si>
  <si>
    <t>浆果红丝绒</t>
  </si>
  <si>
    <t>浆果 芝士蛋糕 酒感</t>
  </si>
  <si>
    <t>82/200</t>
  </si>
  <si>
    <t>奶咖尚可</t>
  </si>
  <si>
    <t>发酵感过重</t>
  </si>
  <si>
    <t>荒诞故事</t>
  </si>
  <si>
    <t>草莓 水蜜桃 樱桃</t>
  </si>
  <si>
    <t>余韵差 触感稍差 稍贵</t>
  </si>
  <si>
    <t>Water Power</t>
  </si>
  <si>
    <t>咸蛋黄芝士</t>
  </si>
  <si>
    <t>蛋黄 芝士</t>
  </si>
  <si>
    <t>触感偏差 美式一般</t>
  </si>
  <si>
    <t>光咖坊</t>
  </si>
  <si>
    <t>苹果白兰地</t>
  </si>
  <si>
    <t>苹果 白兰地 酒心巧克力</t>
  </si>
  <si>
    <t>165/454</t>
  </si>
  <si>
    <t>风味具象 甜感高</t>
  </si>
  <si>
    <t>微不耐萃 微有发酵感</t>
  </si>
  <si>
    <t>冷奶咖</t>
  </si>
  <si>
    <t>教父（金标）</t>
  </si>
  <si>
    <t>焦苦</t>
  </si>
  <si>
    <t>74/500</t>
  </si>
  <si>
    <t>风味不足 广告朵 瑕疵率高</t>
  </si>
  <si>
    <t>路边野餐</t>
  </si>
  <si>
    <t>太妃糖 杏仁 普洱</t>
  </si>
  <si>
    <t>不耐萃 风味不足</t>
  </si>
  <si>
    <t>风气</t>
  </si>
  <si>
    <t>春分soe</t>
  </si>
  <si>
    <t>花香 白巧 柑橘</t>
  </si>
  <si>
    <t>干净清爽 奶咖在线</t>
  </si>
  <si>
    <t>酸度稍高 触感稍薄</t>
  </si>
  <si>
    <t>Pinda</t>
  </si>
  <si>
    <t>白巧喷泉</t>
  </si>
  <si>
    <t>白巧 奶昔 苹果</t>
  </si>
  <si>
    <t>64/227</t>
  </si>
  <si>
    <t xml:space="preserve">整体干净 甜感在线 </t>
  </si>
  <si>
    <t>触感稍薄 美式一般</t>
  </si>
  <si>
    <t>Laze Laze</t>
  </si>
  <si>
    <t>红苹果 巧克力 黑糖</t>
  </si>
  <si>
    <t>整体均衡 无杂味 余韵长</t>
  </si>
  <si>
    <t>风味强度弱</t>
  </si>
  <si>
    <t>3.5+</t>
  </si>
  <si>
    <t>不苦buku</t>
  </si>
  <si>
    <t>焦糖 香料 水果</t>
  </si>
  <si>
    <t>76/227</t>
  </si>
  <si>
    <t>奶咖高甜</t>
  </si>
  <si>
    <t xml:space="preserve">低温甜感减弱 触感一般 </t>
  </si>
  <si>
    <t>李想咖</t>
  </si>
  <si>
    <t>蜜香梅soe</t>
  </si>
  <si>
    <t>莓果 柑橘 李子</t>
  </si>
  <si>
    <t>79/454</t>
  </si>
  <si>
    <t>延长养豆时间 冷奶咖</t>
  </si>
  <si>
    <t>Hawelka</t>
  </si>
  <si>
    <t>Kuba拼配</t>
  </si>
  <si>
    <t>香草 焦糖</t>
  </si>
  <si>
    <t>-</t>
  </si>
  <si>
    <t>柔和 甜感在线</t>
  </si>
  <si>
    <t>不好买到</t>
  </si>
  <si>
    <t>Zoy</t>
  </si>
  <si>
    <t>可可海鸟</t>
  </si>
  <si>
    <t>可可 香草</t>
  </si>
  <si>
    <t>风味具象</t>
  </si>
  <si>
    <t>风味单一 触感差 隐瞒处理法 态度恶劣</t>
  </si>
  <si>
    <t>光宗豆号</t>
  </si>
  <si>
    <t>莓果 奶油 坚果</t>
  </si>
  <si>
    <t>水果风味明显</t>
  </si>
  <si>
    <t>不耐萃 触感稍弱</t>
  </si>
  <si>
    <t>夏至soe</t>
  </si>
  <si>
    <t>热带水果 白巧</t>
  </si>
  <si>
    <t>62/200</t>
  </si>
  <si>
    <t>风味干净 酸质明亮</t>
  </si>
  <si>
    <t>不耐萃 触感稍薄</t>
  </si>
  <si>
    <t>大幅降低萃取率</t>
  </si>
  <si>
    <t>红酒日晒</t>
  </si>
  <si>
    <t>红酒 乌梅 酒心巧克力</t>
  </si>
  <si>
    <t>68/250</t>
  </si>
  <si>
    <t>酒香明显 奶咖在线</t>
  </si>
  <si>
    <t>略有发酵感 触感稍弱</t>
  </si>
  <si>
    <t>软桃咕咚</t>
  </si>
  <si>
    <t>白桃 奶油 花香</t>
  </si>
  <si>
    <t>64.6/200</t>
  </si>
  <si>
    <t>香气柔和 奶咖在线</t>
  </si>
  <si>
    <t>触感稍薄 美式相对一般</t>
  </si>
  <si>
    <t>如本</t>
  </si>
  <si>
    <t>雨中曲</t>
  </si>
  <si>
    <t>烤坚果 焦糖 烤苹果</t>
  </si>
  <si>
    <t>干净均衡</t>
  </si>
  <si>
    <t>AF</t>
  </si>
  <si>
    <t>映夏soe</t>
  </si>
  <si>
    <t>柑橘 花香</t>
  </si>
  <si>
    <t>32.4/227</t>
  </si>
  <si>
    <t>略不耐萃</t>
  </si>
  <si>
    <t>哥斯达黎加</t>
  </si>
  <si>
    <t>丹桂soe</t>
  </si>
  <si>
    <t>糖炒栗子 烤榛子 柑橘</t>
  </si>
  <si>
    <t>香气扎实干净</t>
  </si>
  <si>
    <t>触感稍薄 微有瑕疵</t>
  </si>
  <si>
    <t>柑橘 草莓 白巧</t>
  </si>
  <si>
    <t>75/250</t>
  </si>
  <si>
    <t>香气明显 干净均衡</t>
  </si>
  <si>
    <t>满仓豆</t>
  </si>
  <si>
    <t>草莓soe</t>
  </si>
  <si>
    <t>草莓 桃子 白巧</t>
  </si>
  <si>
    <t>78/200</t>
  </si>
  <si>
    <t>风味具象 奶咖甜感高</t>
  </si>
  <si>
    <t>发酵感重 美式和低温明显</t>
  </si>
  <si>
    <t>热奶咖</t>
  </si>
  <si>
    <t>Fritz</t>
  </si>
  <si>
    <t>哥斯达黎加soe</t>
  </si>
  <si>
    <t>蜜瓜 可可 红茶</t>
  </si>
  <si>
    <t>18k韩元/200</t>
  </si>
  <si>
    <t>奶咖甜感高 香气明显</t>
  </si>
  <si>
    <t>发酵感明显 不适合美式</t>
  </si>
  <si>
    <t>柑橘 白色花 焦糖</t>
  </si>
  <si>
    <t>29.9/227</t>
  </si>
  <si>
    <t>性价比高</t>
  </si>
  <si>
    <t>不耐萃</t>
  </si>
  <si>
    <t>littlemango</t>
  </si>
  <si>
    <t>橘子汽水</t>
  </si>
  <si>
    <t>陈皮 坚果 可可</t>
  </si>
  <si>
    <t>均衡 醇厚度高</t>
  </si>
  <si>
    <t>触感偏弱</t>
  </si>
  <si>
    <t>爆浆芝士挞</t>
  </si>
  <si>
    <t>芝士 焦糖  花香</t>
  </si>
  <si>
    <t>奶咖芝士风味明显 整体均衡</t>
  </si>
  <si>
    <t>触感稍差 微有烟感</t>
  </si>
  <si>
    <t>奶咖 适当降低萃取率</t>
  </si>
  <si>
    <t>麦巧脆墩墩</t>
  </si>
  <si>
    <t>巧克力 威化饼干</t>
  </si>
  <si>
    <t>55/227</t>
  </si>
  <si>
    <t>触感差 风味一般</t>
  </si>
  <si>
    <t>甜橙茉莉</t>
  </si>
  <si>
    <t>花香 甜橙 奶油</t>
  </si>
  <si>
    <t>136/150</t>
  </si>
  <si>
    <t>香气丰富 甜感高 奶油感明显</t>
  </si>
  <si>
    <t>偏贵 层次感稍弱</t>
  </si>
  <si>
    <t>M2M</t>
  </si>
  <si>
    <t>糖渍果子</t>
  </si>
  <si>
    <t>热带水果 蜜饯 杏干</t>
  </si>
  <si>
    <t>71.9/250</t>
  </si>
  <si>
    <t xml:space="preserve">甜感高 水果风味明显 </t>
  </si>
  <si>
    <t>低温稍苦</t>
  </si>
  <si>
    <t>5-</t>
  </si>
  <si>
    <t>草莓曲奇</t>
  </si>
  <si>
    <t>草莓酱 曲奇饼干</t>
  </si>
  <si>
    <t>性价比高 没有杂味 包装也好</t>
  </si>
  <si>
    <t>触感稍差</t>
  </si>
  <si>
    <t>三重奏（中烘版）</t>
  </si>
  <si>
    <t>柑橘 芒果 芝士 红茶</t>
  </si>
  <si>
    <t>59/250</t>
  </si>
  <si>
    <t>均衡干净</t>
  </si>
  <si>
    <t>醇厚度稍弱 风味指向性弱</t>
  </si>
  <si>
    <t>玉兰糖</t>
  </si>
  <si>
    <t>花香 焦糖 杏桃 白巧</t>
  </si>
  <si>
    <t>高甜 干净均衡</t>
  </si>
  <si>
    <t>野孩子拼配</t>
  </si>
  <si>
    <t>冰淇淋 蛋黄</t>
  </si>
  <si>
    <t>49/227</t>
  </si>
  <si>
    <t>奶咖尚可 冰淇淋感明显</t>
  </si>
  <si>
    <t>美式发酵感偏重</t>
  </si>
  <si>
    <t>奶油榴莲</t>
  </si>
  <si>
    <t>榴莲 芝士</t>
  </si>
  <si>
    <t>触感很差</t>
  </si>
  <si>
    <t>Lilo</t>
  </si>
  <si>
    <t>酵母水洗 奇洛索</t>
  </si>
  <si>
    <t>蜜瓜 西瓜 芝士</t>
  </si>
  <si>
    <t>香气明显 甜感高</t>
  </si>
  <si>
    <t>提高浓度降低萃取率</t>
  </si>
  <si>
    <t>花香桃子</t>
  </si>
  <si>
    <t>桃子 花香</t>
  </si>
  <si>
    <t>触感偏薄</t>
  </si>
  <si>
    <t>木姜子柠檬草</t>
  </si>
  <si>
    <t>木姜子 青柠檬 绿茶</t>
  </si>
  <si>
    <t>108/227</t>
  </si>
  <si>
    <t>甜感稍弱 稍贵</t>
  </si>
  <si>
    <t>softpillow</t>
  </si>
  <si>
    <t>十七英里</t>
  </si>
  <si>
    <t>热带水果 白花香</t>
  </si>
  <si>
    <t>82.5/227</t>
  </si>
  <si>
    <t>酸质明亮 整体干净</t>
  </si>
  <si>
    <t>美式酸度稍高</t>
  </si>
  <si>
    <t>KONO</t>
  </si>
  <si>
    <t>经典意式拼配</t>
  </si>
  <si>
    <t>可可 香草 吐司</t>
  </si>
  <si>
    <t>85/200</t>
  </si>
  <si>
    <t>香味浓郁 甜刚高</t>
  </si>
  <si>
    <t>价格偏贵 不好买</t>
  </si>
  <si>
    <t>烟嗓</t>
  </si>
  <si>
    <t>焦糖 朗姆 黑巧</t>
  </si>
  <si>
    <t>65/500</t>
  </si>
  <si>
    <t>性价比高 甜感高 醇厚度高</t>
  </si>
  <si>
    <t xml:space="preserve">咖啡因含量高 </t>
  </si>
  <si>
    <t>珈满瑰夏</t>
  </si>
  <si>
    <t>覆盆子果酱 草莓 椰子糖 奶油</t>
  </si>
  <si>
    <t>莓果风味炸裂 香气四溢</t>
  </si>
  <si>
    <t>触感微弱 价格稍贵</t>
  </si>
  <si>
    <t>菠萝成子</t>
  </si>
  <si>
    <t>日式深烘</t>
  </si>
  <si>
    <t>醇厚度高</t>
  </si>
  <si>
    <t>性价比低 风味偏弱</t>
  </si>
  <si>
    <t>橙花soe</t>
  </si>
  <si>
    <t>花香 杏干 奶油布丁</t>
  </si>
  <si>
    <t>干净均衡 花香明显</t>
  </si>
  <si>
    <t>风味轻度稍弱</t>
  </si>
  <si>
    <t>适当提高萃取浓度</t>
  </si>
  <si>
    <t>布雷克+山姆</t>
  </si>
  <si>
    <t>印尼</t>
  </si>
  <si>
    <t>曼特宁</t>
  </si>
  <si>
    <t>木质 黑巧</t>
  </si>
  <si>
    <t>149.8/1000</t>
  </si>
  <si>
    <t>不新鲜 包装差 顺滑度差</t>
  </si>
  <si>
    <t>草莓跳跳糖</t>
  </si>
  <si>
    <t>草莓糖 荔枝</t>
  </si>
  <si>
    <t>79/227</t>
  </si>
  <si>
    <t>发酵感重 触感薄 性价比低</t>
  </si>
  <si>
    <t>蓝莓华夫</t>
  </si>
  <si>
    <t>蓝莓果酱 黑醋栗</t>
  </si>
  <si>
    <t>121/250</t>
  </si>
  <si>
    <t>酸度偏高 触感稍差 性价比低</t>
  </si>
  <si>
    <t>奶咖多加奶</t>
  </si>
  <si>
    <t>可可威化</t>
  </si>
  <si>
    <t>可可 威化饼干 烤核桃</t>
  </si>
  <si>
    <t>68/224</t>
  </si>
  <si>
    <t xml:space="preserve">整体干净 醇厚度高 </t>
  </si>
  <si>
    <t>价格稍贵</t>
  </si>
  <si>
    <t>橘子 荔枝 水蜜桃 可可 红糖</t>
  </si>
  <si>
    <t>63.9/400</t>
  </si>
  <si>
    <t>整体均衡 性价比高</t>
  </si>
  <si>
    <t>风味强度稍弱 略不耐萃</t>
  </si>
  <si>
    <t>空杯巴士</t>
  </si>
  <si>
    <t>荔枝 桔子 花香</t>
  </si>
  <si>
    <t>70/227</t>
  </si>
  <si>
    <t>风味弱 性价比低</t>
  </si>
  <si>
    <t>One Way</t>
  </si>
  <si>
    <t>冠军拼配</t>
  </si>
  <si>
    <t>草莓 桃子 红茶</t>
  </si>
  <si>
    <t>150/250</t>
  </si>
  <si>
    <t>有发酵感 触感稍差 性价比低</t>
  </si>
  <si>
    <t>瓜瓜乐</t>
  </si>
  <si>
    <t>西瓜 百合 水蜜桃</t>
  </si>
  <si>
    <t>148/250</t>
  </si>
  <si>
    <t>性价比偏低 触感稍差 酸度稍高</t>
  </si>
  <si>
    <t>Coral</t>
  </si>
  <si>
    <t>MayMay</t>
  </si>
  <si>
    <t>葡萄 蓝莓 菠萝 水果酒</t>
  </si>
  <si>
    <t>98/200</t>
  </si>
  <si>
    <t>性价比低 发酵感安心</t>
  </si>
  <si>
    <t>冷萃</t>
  </si>
  <si>
    <t>醺夏</t>
  </si>
  <si>
    <t>花香 水蜜桃 热带水果</t>
  </si>
  <si>
    <t xml:space="preserve">香气明显 甜感高 </t>
  </si>
  <si>
    <t>微有发酵感</t>
  </si>
  <si>
    <t>鲸落</t>
  </si>
  <si>
    <t>柑橘酸 烤坚果 奶油</t>
  </si>
  <si>
    <t>36/227</t>
  </si>
  <si>
    <t>整体均衡 触感圆润 性价比高</t>
  </si>
  <si>
    <t>Peace Attack</t>
  </si>
  <si>
    <t>牛奶饼干 枫糖 浆果酸质</t>
  </si>
  <si>
    <t>52/200</t>
  </si>
  <si>
    <t>奶咖整体均衡 甜感尚可</t>
  </si>
  <si>
    <t>肯尼亚</t>
  </si>
  <si>
    <t>红梅符文</t>
  </si>
  <si>
    <t>树莓 红糖 葡萄干 西柚</t>
  </si>
  <si>
    <t>96/250</t>
  </si>
  <si>
    <t>奶咖甜感高 整体均衡</t>
  </si>
  <si>
    <t>性价比偏低 美式一般</t>
  </si>
  <si>
    <t>老王子</t>
  </si>
  <si>
    <t>冲冲芒芒</t>
  </si>
  <si>
    <t>芒果 橙子 巧克力</t>
  </si>
  <si>
    <t>53/250</t>
  </si>
  <si>
    <t>性价比高 水果风味明显</t>
  </si>
  <si>
    <t>银河拼配</t>
  </si>
  <si>
    <t>花香 焦糖 水果酸质 奶油</t>
  </si>
  <si>
    <t>77/454</t>
  </si>
  <si>
    <t>性价比高 均衡</t>
  </si>
  <si>
    <t>朗姆酒葡萄</t>
  </si>
  <si>
    <t>朗姆酒 葡萄干 奶油</t>
  </si>
  <si>
    <t>158/227</t>
  </si>
  <si>
    <t>风味明显 触感顺滑</t>
  </si>
  <si>
    <t>紫叶卡杜拉</t>
  </si>
  <si>
    <t>苹果酸 奶油 红糖 生巧</t>
  </si>
  <si>
    <t>整体均衡 醇厚度高</t>
  </si>
  <si>
    <t>低温稍有负面</t>
  </si>
  <si>
    <t>Rain</t>
  </si>
  <si>
    <t>烤坚果 烟丝 黑巧</t>
  </si>
  <si>
    <t>44/227</t>
  </si>
  <si>
    <t>醇厚度高 甜感尚可</t>
  </si>
  <si>
    <t>略有烟熏 顺滑度低</t>
  </si>
  <si>
    <t>小鸟拼配</t>
  </si>
  <si>
    <t>焦糖 黑巧 芝士</t>
  </si>
  <si>
    <t>69/227</t>
  </si>
  <si>
    <t>性价比低 焦苦味明显</t>
  </si>
  <si>
    <t>Fisher</t>
  </si>
  <si>
    <t>超级日晒 阿朵拉soe</t>
  </si>
  <si>
    <t>肉桂 香料 花香</t>
  </si>
  <si>
    <t>228/454</t>
  </si>
  <si>
    <t>肉桂味明显</t>
  </si>
  <si>
    <t>风味单一 性价比低</t>
  </si>
  <si>
    <t>草莓月亮</t>
  </si>
  <si>
    <t>芒果 草莓 荔枝</t>
  </si>
  <si>
    <t>66/150</t>
  </si>
  <si>
    <t>发酵感偏容 层次感差 性价比低</t>
  </si>
  <si>
    <t>黄油松饼</t>
  </si>
  <si>
    <t>黄油 松饼 酒心巧克力</t>
  </si>
  <si>
    <t>甜感高 触感顺滑 整体均衡</t>
  </si>
  <si>
    <t>dirty</t>
  </si>
  <si>
    <t>向日葵2.0</t>
  </si>
  <si>
    <t>坚果 焦糖 木调</t>
  </si>
  <si>
    <t>68.8/500</t>
  </si>
  <si>
    <t>便宜 醇厚度尚可</t>
  </si>
  <si>
    <t>ONA</t>
  </si>
  <si>
    <t>Raspberry Candy</t>
  </si>
  <si>
    <t>覆盆子果酱 芝士蛋糕 白巧</t>
  </si>
  <si>
    <t>奶咖甜感高 风味明显</t>
  </si>
  <si>
    <t>美式稍有酵感 瑕疵率稍高</t>
  </si>
  <si>
    <t>Aloha 埃塞纯享版</t>
  </si>
  <si>
    <t>紫葡萄 燕麦饼干 果木 红茶</t>
  </si>
  <si>
    <t>整体均衡 甜感尚可</t>
  </si>
  <si>
    <t>美式一般 风味指向性弱</t>
  </si>
  <si>
    <t>Outman</t>
  </si>
  <si>
    <t>哇没啦</t>
  </si>
  <si>
    <t>花香 柑橘 红茶</t>
  </si>
  <si>
    <t>56/227</t>
  </si>
  <si>
    <t>水果风味明显 奶咖甜感高</t>
  </si>
  <si>
    <t>瑰夏拼配</t>
  </si>
  <si>
    <t>紫色花 深色浆果 可可</t>
  </si>
  <si>
    <t>139/250</t>
  </si>
  <si>
    <t>酸质明显</t>
  </si>
  <si>
    <t>性价比低 触感稍差</t>
  </si>
  <si>
    <t>3.5-</t>
  </si>
  <si>
    <t>Maxpresso</t>
  </si>
  <si>
    <t>古吉soe</t>
  </si>
  <si>
    <t>花香 柑橘 莓果</t>
  </si>
  <si>
    <t>89/227</t>
  </si>
  <si>
    <t>花香明显 甜感高 耐萃</t>
  </si>
  <si>
    <t>微贵</t>
  </si>
  <si>
    <t>炭烧拼配</t>
  </si>
  <si>
    <t>黑巧 松木 焦糖 烟丝</t>
  </si>
  <si>
    <t>95/200</t>
  </si>
  <si>
    <t>醇厚度高 回甘明显</t>
  </si>
  <si>
    <t>性价比偏低 奶咖一般</t>
  </si>
  <si>
    <t>手冲</t>
  </si>
  <si>
    <t>Malina</t>
  </si>
  <si>
    <t>夏奇索soe</t>
  </si>
  <si>
    <t xml:space="preserve">柑橘 莓果 提拉米苏 </t>
  </si>
  <si>
    <t>80/250</t>
  </si>
  <si>
    <t>风味明显 干净均衡</t>
  </si>
  <si>
    <t>果丁丁soe</t>
  </si>
  <si>
    <t>莓果 热带水果 红茶</t>
  </si>
  <si>
    <t>水果风味明显 整体干净</t>
  </si>
  <si>
    <t>略有发酵感</t>
  </si>
  <si>
    <t>Big Sur</t>
  </si>
  <si>
    <t>阿朵拉soe</t>
  </si>
  <si>
    <t>龙井绿茶 柑橘</t>
  </si>
  <si>
    <t>干净清爽 茶香明显</t>
  </si>
  <si>
    <t>触感偏薄 风味强度稍弱</t>
  </si>
  <si>
    <t>适当提高浓度</t>
  </si>
  <si>
    <t>栗子蒙布朗</t>
  </si>
  <si>
    <t>栗子蒙布朗蛋糕 烤坚果</t>
  </si>
  <si>
    <t>99/227</t>
  </si>
  <si>
    <t>风味稍单一</t>
  </si>
  <si>
    <t>巴西</t>
  </si>
  <si>
    <t>巴西日晒soe</t>
  </si>
  <si>
    <t>葡萄干 黑巧 朗姆酒</t>
  </si>
  <si>
    <t>美式稍有酵感</t>
  </si>
  <si>
    <t>花果果</t>
  </si>
  <si>
    <t>草莓 蜜桃 橘子汽水 奶油</t>
  </si>
  <si>
    <t>88/227</t>
  </si>
  <si>
    <t>性价比稍低 奶咖低温偏枯</t>
  </si>
  <si>
    <t>好一点</t>
  </si>
  <si>
    <t>甜巧拼配</t>
  </si>
  <si>
    <t>坚果 黑巧</t>
  </si>
  <si>
    <t>47/250</t>
  </si>
  <si>
    <t>欧罗巴拼配</t>
  </si>
  <si>
    <t>黑巧 坚果 焦糖</t>
  </si>
  <si>
    <t>性价比低</t>
  </si>
  <si>
    <t>橘香茉莉</t>
  </si>
  <si>
    <t>茉莉花茶 桃子</t>
  </si>
  <si>
    <t>75/500</t>
  </si>
  <si>
    <t>香气明显 性价比高</t>
  </si>
  <si>
    <t>触感差 味道稍杂</t>
  </si>
  <si>
    <t>夏季拼配</t>
  </si>
  <si>
    <t>综合水果 水果酒</t>
  </si>
  <si>
    <t>115/200</t>
  </si>
  <si>
    <t>果香明显</t>
  </si>
  <si>
    <t>发酵感明显</t>
  </si>
  <si>
    <t>潮九</t>
  </si>
  <si>
    <t>铁甲重拳</t>
  </si>
  <si>
    <t>乌梅 黑糖 杏仁 黑巧</t>
  </si>
  <si>
    <t>60/200</t>
  </si>
  <si>
    <t>醇厚度高 甜感高</t>
  </si>
  <si>
    <t>微有杂味</t>
  </si>
  <si>
    <t>桃气罐</t>
  </si>
  <si>
    <t>桃子 柑橘 奶油 白花</t>
  </si>
  <si>
    <t>干净 甜感高</t>
  </si>
  <si>
    <t>触感稍薄 层次感稍弱</t>
  </si>
  <si>
    <t>肆唯</t>
  </si>
  <si>
    <t xml:space="preserve">云南 </t>
  </si>
  <si>
    <t>茉莉雪</t>
  </si>
  <si>
    <t>茉莉花茶</t>
  </si>
  <si>
    <t>149/227</t>
  </si>
  <si>
    <t>风味单一 触感偏差</t>
  </si>
  <si>
    <t>最后的晴语</t>
  </si>
  <si>
    <t>香水柠檬 白花 杜松子</t>
  </si>
  <si>
    <t>128/150</t>
  </si>
  <si>
    <t>干净清爽 香气明显</t>
  </si>
  <si>
    <t>触感稍薄 性价比偏低</t>
  </si>
  <si>
    <t>冰美式</t>
  </si>
  <si>
    <t>星巴克</t>
  </si>
  <si>
    <t>派克市场</t>
  </si>
  <si>
    <t xml:space="preserve">烟熏 油薅 木质 烤坚果 </t>
  </si>
  <si>
    <t>醇厚度</t>
  </si>
  <si>
    <t>风味差 性价比低</t>
  </si>
  <si>
    <t>卢旺达</t>
  </si>
  <si>
    <t>尼温圭soe</t>
  </si>
  <si>
    <t>乌梅 乌龙茶 黑糖 陈皮</t>
  </si>
  <si>
    <t>风味扎实圆润 甜感尚可</t>
  </si>
  <si>
    <t>低温触感稍差 苦度上升</t>
  </si>
  <si>
    <t>热美式 热奶咖</t>
  </si>
  <si>
    <t>最长的一天</t>
  </si>
  <si>
    <t>黑布林 油桃 红色花</t>
  </si>
  <si>
    <t>48/227</t>
  </si>
  <si>
    <t>均衡 甜感高 性价比高</t>
  </si>
  <si>
    <t>美式干净度稍弱 低温苦感变强</t>
  </si>
  <si>
    <t>河汉咖啡</t>
  </si>
  <si>
    <t>综合水果 白花</t>
  </si>
  <si>
    <t>整体均衡 水果风味明显</t>
  </si>
  <si>
    <t>高温风味强度偏弱</t>
  </si>
  <si>
    <t>冰美式 冷奶咖</t>
  </si>
  <si>
    <t>花香 偏桃仁 柑橘</t>
  </si>
  <si>
    <t>9.9/50</t>
  </si>
  <si>
    <t>小包装 性价比高 整体均衡</t>
  </si>
  <si>
    <t>班其玛吉 瑰夏soe</t>
  </si>
  <si>
    <t>泰国柚子 樱桃 荔枝</t>
  </si>
  <si>
    <t>酸质明亮 风味明显</t>
  </si>
  <si>
    <t>不好萃 新手不友好</t>
  </si>
  <si>
    <t>细细的红线</t>
  </si>
  <si>
    <t>烤杏仁 果木 广藿香</t>
  </si>
  <si>
    <t>整体均衡 风味扎实</t>
  </si>
  <si>
    <t>酸质稍弱 风味明显</t>
  </si>
  <si>
    <t>Drizzle</t>
  </si>
  <si>
    <t>橙花 蜂蜜 蓝莓 葡萄</t>
  </si>
  <si>
    <t>奶咖花香馥郁</t>
  </si>
  <si>
    <t>美式稍沉闷</t>
  </si>
  <si>
    <t>甜心手滑</t>
  </si>
  <si>
    <t>烤坚果 黑巧</t>
  </si>
  <si>
    <t>69/250</t>
  </si>
  <si>
    <t>Colinplus</t>
  </si>
  <si>
    <t>麦芽糖 过目 香草 黑巧</t>
  </si>
  <si>
    <t>78/454</t>
  </si>
  <si>
    <t>性价比高 甜感在线</t>
  </si>
  <si>
    <t>美式相对平庸</t>
  </si>
  <si>
    <t>Code Black</t>
  </si>
  <si>
    <t>前妻</t>
  </si>
  <si>
    <t>蜜瓜 坚果 太妃糖 黑巧</t>
  </si>
  <si>
    <t>82/250</t>
  </si>
  <si>
    <t>干净均衡 甜感在线</t>
  </si>
  <si>
    <t>低温略有负面</t>
  </si>
  <si>
    <t>Clip</t>
  </si>
  <si>
    <t>树莓 伯爵茶 饼干</t>
  </si>
  <si>
    <t>干净清爽 茶味明显</t>
  </si>
  <si>
    <t>味道稍淡 性价比稍低</t>
  </si>
  <si>
    <t>Chaka</t>
  </si>
  <si>
    <t>Arbegona</t>
  </si>
  <si>
    <t>柠檬红茶 柑橘 草莓 水果糖</t>
  </si>
  <si>
    <t>60澳元/1000</t>
  </si>
  <si>
    <t>水果风味丰富 性价比高</t>
  </si>
  <si>
    <t>Asgard</t>
  </si>
  <si>
    <t>越南</t>
  </si>
  <si>
    <t>罗伯斯塔</t>
  </si>
  <si>
    <t>烤花生皮 麦胚 坚果</t>
  </si>
  <si>
    <t>醇厚度高 触感顺滑</t>
  </si>
  <si>
    <t>风味差</t>
  </si>
  <si>
    <t>潜水东路10号</t>
  </si>
  <si>
    <t>金桔 白色花香</t>
  </si>
  <si>
    <t>52/150</t>
  </si>
  <si>
    <t>酸质干净 风味具象</t>
  </si>
  <si>
    <t>风味强度弱 触感稍薄</t>
  </si>
  <si>
    <t>甜蜜蜜</t>
  </si>
  <si>
    <t>综合水果 花香</t>
  </si>
  <si>
    <t>水果花香明显</t>
  </si>
  <si>
    <t>性价比偏低 风味复杂度过高</t>
  </si>
  <si>
    <t>Batahewan</t>
  </si>
  <si>
    <t>芒果班戟</t>
  </si>
  <si>
    <t>芒果干 甜橙 奶油</t>
  </si>
  <si>
    <t>风味明显 甜感尚可</t>
  </si>
  <si>
    <t>层次感弱 奶咖风味强度弱</t>
  </si>
  <si>
    <t>甜橙乳酪</t>
  </si>
  <si>
    <t>白葡萄酒 葡萄 蓝莓</t>
  </si>
  <si>
    <t>触感差 处理法存疑</t>
  </si>
  <si>
    <t>Momos</t>
  </si>
  <si>
    <t>Fruity Bonbon</t>
  </si>
  <si>
    <t>佛手柑 茉莉 焦糖</t>
  </si>
  <si>
    <t>98/250</t>
  </si>
  <si>
    <t xml:space="preserve">奶咖清爽 甜感高 </t>
  </si>
  <si>
    <t>红色恋人</t>
  </si>
  <si>
    <t>李子 焦糖 奶油 浆果</t>
  </si>
  <si>
    <t>平衡 水果风味明显 性价比高</t>
  </si>
  <si>
    <t>风味略单一</t>
  </si>
  <si>
    <t>森林派对</t>
  </si>
  <si>
    <t>麦芽糖 烤吐司 焦糖 杨梅</t>
  </si>
  <si>
    <t>45/227</t>
  </si>
  <si>
    <t>酸质稍弱</t>
  </si>
  <si>
    <t>GrandCru</t>
  </si>
  <si>
    <t>瑰夏村 瑰夏soe</t>
  </si>
  <si>
    <t>花香 蔓越莓 橘子糖</t>
  </si>
  <si>
    <t>79/200</t>
  </si>
  <si>
    <t>甜感尚可 微妙香料感</t>
  </si>
  <si>
    <t>阿亚拉日晒soe</t>
  </si>
  <si>
    <t>橙花柑橘 蓝莓 葡萄</t>
  </si>
  <si>
    <t>75/200</t>
  </si>
  <si>
    <t>花香明显 甜感在线</t>
  </si>
  <si>
    <t>风味强度稍弱</t>
  </si>
  <si>
    <t>奶咖适当减少奶量</t>
  </si>
  <si>
    <t>2024/11/31</t>
  </si>
  <si>
    <t>尤果瑰夏</t>
  </si>
  <si>
    <t>热带水果 花香 稀奶油</t>
  </si>
  <si>
    <t>83/227</t>
  </si>
  <si>
    <t>棉花糖</t>
  </si>
  <si>
    <t>棉花糖 太妃糖 黑巧 李子</t>
  </si>
  <si>
    <t>均衡柔和</t>
  </si>
  <si>
    <t>触感稍差 低温苦感变高</t>
  </si>
  <si>
    <t>咖啡列车</t>
  </si>
  <si>
    <t>枪与玫瑰</t>
  </si>
  <si>
    <t>黑巧 烤吐司 莓果酸质</t>
  </si>
  <si>
    <t>19.6/100</t>
  </si>
  <si>
    <t>均衡 性价比尚可</t>
  </si>
  <si>
    <t>缺乏具体风味 低温苦</t>
  </si>
  <si>
    <t>草莓优格 奶油 花香</t>
  </si>
  <si>
    <t>110/227</t>
  </si>
  <si>
    <t>奶油触感 花香明显 奶咖甜感高</t>
  </si>
  <si>
    <t>黄桃优格soe</t>
  </si>
  <si>
    <t>黄桃罐头 草莓优格 香兰素</t>
  </si>
  <si>
    <t>53/227</t>
  </si>
  <si>
    <t>奶香浓郁 性价比高</t>
  </si>
  <si>
    <t>稍有点腻 处理方法存疑</t>
  </si>
  <si>
    <t>芳豆坊</t>
  </si>
  <si>
    <t>水果拼配</t>
  </si>
  <si>
    <t>甜花香 柑橘 莓果</t>
  </si>
  <si>
    <t>花香明显 酸质明亮 性价比高</t>
  </si>
  <si>
    <t>巧克力泡芙</t>
  </si>
  <si>
    <t>乌梅 黑巧 奶油泡芙</t>
  </si>
  <si>
    <t>2/250</t>
  </si>
  <si>
    <t>均衡干净 酸质微妙</t>
  </si>
  <si>
    <t>下架了</t>
  </si>
  <si>
    <t>奶油话梅草莓</t>
  </si>
  <si>
    <t>草莓 话梅 奶油 可可</t>
  </si>
  <si>
    <t>风味具象 酸质柔和 奶油触感</t>
  </si>
  <si>
    <t>蛋糕拼配</t>
  </si>
  <si>
    <t>百利甜 香草 提拉米苏</t>
  </si>
  <si>
    <t>风味具象 甜感尚可</t>
  </si>
  <si>
    <t>层次感和触感稍弱 风味单一</t>
  </si>
  <si>
    <t>陆光</t>
  </si>
  <si>
    <t>平克拼配</t>
  </si>
  <si>
    <t>果味丰富 甜感高 均衡</t>
  </si>
  <si>
    <t>75/227</t>
  </si>
  <si>
    <t>拿破仑</t>
  </si>
  <si>
    <t>榛子 焦糖 烤吐司</t>
  </si>
  <si>
    <t>Lebunna</t>
  </si>
  <si>
    <t>绿茶 核果 白花香</t>
  </si>
  <si>
    <t>129/200</t>
  </si>
  <si>
    <t>酸质干净 茶香余韵</t>
  </si>
  <si>
    <t>原力</t>
  </si>
  <si>
    <t>麦芽糖 饼干吐司</t>
  </si>
  <si>
    <t>118/454</t>
  </si>
  <si>
    <t>缺乏风味指向</t>
  </si>
  <si>
    <t>Go To</t>
  </si>
  <si>
    <t>星空拼配</t>
  </si>
  <si>
    <t>燕麦饼干 吐司 柑橘</t>
  </si>
  <si>
    <t>74.9/227</t>
  </si>
  <si>
    <t>均衡 甜感尚可</t>
  </si>
  <si>
    <t>Proud Mary</t>
  </si>
  <si>
    <t>巴西soe</t>
  </si>
  <si>
    <t>坚果 焦糖 红茶</t>
  </si>
  <si>
    <t>30.75澳/250</t>
  </si>
  <si>
    <t>均衡 甜刚高 口感圆润</t>
  </si>
  <si>
    <t>性价比偏低 低温苦感明显</t>
  </si>
  <si>
    <t>玫瑰 番石榴 草莓 水蜜桃</t>
  </si>
  <si>
    <t>139/200</t>
  </si>
  <si>
    <t>甜感高 花香明显 酸质柔和</t>
  </si>
  <si>
    <t>价格偏贵</t>
  </si>
  <si>
    <t>风味之森</t>
  </si>
  <si>
    <t>绿野仙踪</t>
  </si>
  <si>
    <t>绿茶 黄糖 阳光玫瑰葡萄</t>
  </si>
  <si>
    <t>甜感高 干净清爽</t>
  </si>
  <si>
    <t>Anthracite</t>
  </si>
  <si>
    <t>夏日漱石</t>
  </si>
  <si>
    <t>甜橙 坚果巧克力</t>
  </si>
  <si>
    <t>80/200</t>
  </si>
  <si>
    <t>奶咖轻薄 整体清爽</t>
  </si>
  <si>
    <t>美式偏生 风味强度弱</t>
  </si>
  <si>
    <t>Hometown</t>
  </si>
  <si>
    <t>Queen City</t>
  </si>
  <si>
    <t>烤坚果 黑巧 莓果酸质</t>
  </si>
  <si>
    <t>14💲/12oz</t>
  </si>
  <si>
    <t>ALO 奇卡拉soe</t>
  </si>
  <si>
    <t>茉莉花茶 柑橘</t>
  </si>
  <si>
    <t>165/200</t>
  </si>
  <si>
    <t>风味明显 甜感高 酸质明亮</t>
  </si>
  <si>
    <t>价格贵</t>
  </si>
  <si>
    <t>ALO 邦比soe</t>
  </si>
  <si>
    <t>草莓 芭乐 红茶</t>
  </si>
  <si>
    <t>89/200</t>
  </si>
  <si>
    <t>酸质柔和 整体均衡</t>
  </si>
  <si>
    <t>班提宁卡soe</t>
  </si>
  <si>
    <t>麝香葡萄 白花香 青苹果皮</t>
  </si>
  <si>
    <t>余韵微妙 果香明显 甜感高</t>
  </si>
  <si>
    <t>圣洁soe</t>
  </si>
  <si>
    <t>李子 糖渍樱桃 苹果 肉桂 香料</t>
  </si>
  <si>
    <t>层次感强 复杂度高</t>
  </si>
  <si>
    <t>发酵感稍重</t>
  </si>
  <si>
    <t>栀子乌龙 耶加soe</t>
  </si>
  <si>
    <t>栀子花 乌龙茶 柑橘酸质</t>
  </si>
  <si>
    <t>90/227</t>
  </si>
  <si>
    <t>花香明显 茶感余韵</t>
  </si>
  <si>
    <t>酸质稍弱 低温触感变差</t>
  </si>
  <si>
    <t>可可芭蕾</t>
  </si>
  <si>
    <t>乌梅 可可 焦糖</t>
  </si>
  <si>
    <t>风味明显 口感扎实</t>
  </si>
  <si>
    <t>草莓软糖</t>
  </si>
  <si>
    <t>草莓优格 水果糖</t>
  </si>
  <si>
    <t>81/227</t>
  </si>
  <si>
    <t>层次感弱 发酵感明显</t>
  </si>
  <si>
    <t>唯舍</t>
  </si>
  <si>
    <t>3号拼配 流年</t>
  </si>
  <si>
    <t>花香 草莓 甜橙</t>
  </si>
  <si>
    <t>性价比高 风味明显 口感圆润</t>
  </si>
  <si>
    <t>美式稍弱</t>
  </si>
  <si>
    <t>Monmouth</t>
  </si>
  <si>
    <t>黄波旁</t>
  </si>
  <si>
    <t>焦糖 可可 莓果酸质</t>
  </si>
  <si>
    <t>3.3磅/100</t>
  </si>
  <si>
    <t>整体均衡 甜感在线 酸质微妙</t>
  </si>
  <si>
    <t>六六的猫</t>
  </si>
  <si>
    <t>枫糖 红茶 烤杏仁</t>
  </si>
  <si>
    <t>甜感在线 整体均衡</t>
  </si>
  <si>
    <t>酸质偏弱</t>
  </si>
  <si>
    <t>棉花糖 桃子</t>
  </si>
  <si>
    <t>新年拼配</t>
  </si>
  <si>
    <t>橘子糖 莓果 水果酒</t>
  </si>
  <si>
    <t>甜感高 风味明显 酒香微妙</t>
  </si>
  <si>
    <t>复杂度稍低</t>
  </si>
  <si>
    <t>佳赛茜soe</t>
  </si>
  <si>
    <t>小番茄 话梅糖 可可</t>
  </si>
  <si>
    <t>风味明显 甜感在线</t>
  </si>
  <si>
    <t>秋枫美拉德</t>
  </si>
  <si>
    <t>莓果酱 红枣 奶油 香草</t>
  </si>
  <si>
    <t>91/250</t>
  </si>
  <si>
    <t>整体均衡干净 触感圆润</t>
  </si>
  <si>
    <t>焦糖buff</t>
  </si>
  <si>
    <t>便宜 均衡</t>
  </si>
  <si>
    <t>层次感弱 不耐萃 风味指向弱</t>
  </si>
  <si>
    <t>番石榴 葡萄 黑加仑 菠萝 红色花</t>
  </si>
  <si>
    <t>62/120</t>
  </si>
  <si>
    <t>酸质复杂 层次感强</t>
  </si>
  <si>
    <t>酸度过高 发酵感明显 性价比低</t>
  </si>
  <si>
    <t>Alhoa 联名款</t>
  </si>
  <si>
    <t>花香 西梅 布林 红枣 红糖</t>
  </si>
  <si>
    <t>风味指向弱 性价比偏低</t>
  </si>
  <si>
    <t>Bitter Creek</t>
  </si>
  <si>
    <t>蜜饯 水果酒 红枣 可可</t>
  </si>
  <si>
    <t>168/200</t>
  </si>
  <si>
    <t>层次丰富 干净均衡</t>
  </si>
  <si>
    <t>4.5+</t>
  </si>
  <si>
    <t>危地马拉</t>
  </si>
  <si>
    <t>尖身波旁soe</t>
  </si>
  <si>
    <t>麦芽糖 饼干 焦糖</t>
  </si>
  <si>
    <t>148/200</t>
  </si>
  <si>
    <t>整体均衡 天然低因</t>
  </si>
  <si>
    <t>性价比低 缺乏风味</t>
  </si>
  <si>
    <t>Tortoise</t>
  </si>
  <si>
    <t>焦糖曲奇 柑橘 普洱茶 红糖</t>
  </si>
  <si>
    <t>缺乏具体风味</t>
  </si>
  <si>
    <t>Balance</t>
  </si>
  <si>
    <t>秘鲁</t>
  </si>
  <si>
    <t>秘鲁Omni</t>
  </si>
  <si>
    <t>烤坚果 可可 松木油</t>
  </si>
  <si>
    <t>13加元/300</t>
  </si>
  <si>
    <t>风味强度弱 奶咖甜感弱</t>
  </si>
  <si>
    <t>三尺</t>
  </si>
  <si>
    <t>由布之森</t>
  </si>
  <si>
    <t>哈密瓜 西瓜 水果糖</t>
  </si>
  <si>
    <t>128/125</t>
  </si>
  <si>
    <t>香气明显 新手友好</t>
  </si>
  <si>
    <t>低温触感茶 偏贵 层次感弱</t>
  </si>
  <si>
    <t>尽力而为</t>
  </si>
  <si>
    <t>甜花香</t>
  </si>
  <si>
    <t>花香 柑橘 果脯</t>
  </si>
  <si>
    <t>110/454</t>
  </si>
  <si>
    <t>奶咖风味稍淡 微有发酵感</t>
  </si>
  <si>
    <t>缤果意式拼配</t>
  </si>
  <si>
    <t>葡萄 芒果 黄油 奶油</t>
  </si>
  <si>
    <t>64.9/227</t>
  </si>
  <si>
    <t>甜感高 风味丰富 性价比高</t>
  </si>
  <si>
    <t>美式酸质稍弱</t>
  </si>
  <si>
    <t>泰安洋行</t>
  </si>
  <si>
    <t>综合花香 葡萄 水果酒</t>
  </si>
  <si>
    <t>88/125</t>
  </si>
  <si>
    <t>花香馥郁 层次丰富</t>
  </si>
  <si>
    <t>稍贵 味道复杂</t>
  </si>
  <si>
    <t>周狮虎</t>
  </si>
  <si>
    <t>巨峰葡萄</t>
  </si>
  <si>
    <t>葡萄</t>
  </si>
  <si>
    <t>风味单一 层次感弱</t>
  </si>
  <si>
    <t>德林造味</t>
  </si>
  <si>
    <t>晒秋</t>
  </si>
  <si>
    <t>枫糖 杏仁</t>
  </si>
  <si>
    <t>便宜 整体均衡</t>
  </si>
  <si>
    <t>缺乏风味</t>
  </si>
  <si>
    <t>Let's Grind</t>
  </si>
  <si>
    <t>吃个瓜</t>
  </si>
  <si>
    <t>蜜瓜 果汁 焦糖</t>
  </si>
  <si>
    <t>干净柔和 风味明显</t>
  </si>
  <si>
    <t>奶咖风味强度稍弱 甜感稍弱</t>
  </si>
  <si>
    <t>佛手柑 橘子 西柚 绿茶</t>
  </si>
  <si>
    <t>131/227</t>
  </si>
  <si>
    <t>香气明显 酸质明亮</t>
  </si>
  <si>
    <t>奶枣拼配</t>
  </si>
  <si>
    <t>红枣 白巧 酸角汁</t>
  </si>
  <si>
    <t>奶咖甜感在线 整体均衡</t>
  </si>
  <si>
    <t>美式酸质稍沉闷 风味强度偏弱</t>
  </si>
  <si>
    <t>奶咖 适当提高浓度</t>
  </si>
  <si>
    <t>黑曜石</t>
  </si>
  <si>
    <t>乌梅 黑糖 黑巧</t>
  </si>
  <si>
    <t>3056拼配</t>
  </si>
  <si>
    <t>红茶 焦糖 黑巧</t>
  </si>
  <si>
    <t>30/100</t>
  </si>
  <si>
    <t>冬季拼配</t>
  </si>
  <si>
    <t>提子 蓝莓 奶油</t>
  </si>
  <si>
    <t>小贵 复杂度稍低 不耐萃</t>
  </si>
  <si>
    <t>海上钢琴师</t>
  </si>
  <si>
    <t>黑加仑 蜂蜜 焦糖</t>
  </si>
  <si>
    <t>62.9/454</t>
  </si>
  <si>
    <t>醇厚度高 甜感在线 性价比高</t>
  </si>
  <si>
    <t>干净度弱 低温触感稍差</t>
  </si>
  <si>
    <t>调粗研磨 热奶咖</t>
  </si>
  <si>
    <t>绮梦乐章</t>
  </si>
  <si>
    <t>话梅 榛子 烤吐司 哈密瓜</t>
  </si>
  <si>
    <t>谙客</t>
  </si>
  <si>
    <t>喜上眉梢</t>
  </si>
  <si>
    <t>莓果干 李子 红茶</t>
  </si>
  <si>
    <t>86/250</t>
  </si>
  <si>
    <t>酸质明显 茶韵明显</t>
  </si>
  <si>
    <t>奶咖有点奇怪</t>
  </si>
  <si>
    <t>热美式</t>
  </si>
  <si>
    <t>黄油曲奇</t>
  </si>
  <si>
    <t>黄油饼干 焦糖</t>
  </si>
  <si>
    <t>41.2/200</t>
  </si>
  <si>
    <t>金桔烤凤梨</t>
  </si>
  <si>
    <t>金桔 凤梨 果干</t>
  </si>
  <si>
    <t>糖油果子</t>
  </si>
  <si>
    <t>糖油果子 烤坚果</t>
  </si>
  <si>
    <t>城南花</t>
  </si>
  <si>
    <t>白花香 热带水果 杏桃</t>
  </si>
  <si>
    <t>花香明显 整体柔和</t>
  </si>
  <si>
    <t>干净度稍差</t>
  </si>
  <si>
    <t>洛凌</t>
  </si>
  <si>
    <t>巴拿马</t>
  </si>
  <si>
    <t>定制瑰夏soe</t>
  </si>
  <si>
    <t>白色花 柑橘 和他 曲奇饼干</t>
  </si>
  <si>
    <t>150/100</t>
  </si>
  <si>
    <t>甜感高 风味明显</t>
  </si>
  <si>
    <t>贵 奶咖太甜</t>
  </si>
  <si>
    <t>贪心俱乐部</t>
  </si>
  <si>
    <t>烤坚果 黑巧 松木</t>
  </si>
  <si>
    <t>72/454g</t>
  </si>
  <si>
    <t>风味偏弱 不耐萃 略有烟感</t>
  </si>
  <si>
    <t>小西梅omini</t>
  </si>
  <si>
    <t>西梅 黑糖 乌梅</t>
  </si>
  <si>
    <t>439/450</t>
  </si>
  <si>
    <t>层次感稍弱 不耐萃</t>
  </si>
  <si>
    <t>意式 冷萃</t>
  </si>
  <si>
    <t>肯尼亚soe</t>
  </si>
  <si>
    <t>热带水果 焦糖</t>
  </si>
  <si>
    <t>酸质稍沉闷 风味稍弱</t>
  </si>
  <si>
    <t>夜女王</t>
  </si>
  <si>
    <t>黑巧 烤坚果</t>
  </si>
  <si>
    <t>甜感尚可 价格尚可</t>
  </si>
  <si>
    <t>味道稍杂 略焦糊 客服态度差</t>
  </si>
  <si>
    <t>坚果 焦糖 巧克力</t>
  </si>
  <si>
    <t>55/200</t>
  </si>
  <si>
    <t>整体均衡 甜感高</t>
  </si>
  <si>
    <t>软可可</t>
  </si>
  <si>
    <t>可可 坚果 焦糖</t>
  </si>
  <si>
    <t>45.8/227</t>
  </si>
  <si>
    <t>风味稍弱 触感稍弱 不耐萃</t>
  </si>
  <si>
    <t xml:space="preserve">水果篮子 </t>
  </si>
  <si>
    <t>白花 橘子 葡萄柚</t>
  </si>
  <si>
    <t>74.1/227</t>
  </si>
  <si>
    <t>手冲酸质稍沉闷</t>
  </si>
  <si>
    <t>梅烦恼</t>
  </si>
  <si>
    <t>梅子 花香 焦糖</t>
  </si>
  <si>
    <t>酸质稍沉闷</t>
  </si>
  <si>
    <t>棕熊拼配</t>
  </si>
  <si>
    <t>茉莉花 柑橘 布林</t>
  </si>
  <si>
    <t>92/454</t>
  </si>
  <si>
    <t>甜感在线 整体均衡 性价比高</t>
  </si>
  <si>
    <t>微有瑕疵</t>
  </si>
  <si>
    <t>闪电泡芙</t>
  </si>
  <si>
    <t>黑巧 莓果 水果酒 焦糖</t>
  </si>
  <si>
    <t>甜感在线 奶咖层次丰富</t>
  </si>
  <si>
    <t>美式酸质稍焖 低温略有酵感</t>
  </si>
  <si>
    <t>小石榴</t>
  </si>
  <si>
    <t>金桔 石榴 水果糖</t>
  </si>
  <si>
    <t>93/150</t>
  </si>
  <si>
    <t>酸质明亮 水果风味明显</t>
  </si>
  <si>
    <t>稍不耐萃 层次稍弱 小贵</t>
  </si>
  <si>
    <t>赶海 新春限定</t>
  </si>
  <si>
    <t>热红酒 莓果 红苹果</t>
  </si>
  <si>
    <t>198/200</t>
  </si>
  <si>
    <t>奶咖好喝</t>
  </si>
  <si>
    <t>酸质稍沉闷 略有发酵感 太贵</t>
  </si>
  <si>
    <t>冰糖葫芦</t>
  </si>
  <si>
    <t>山楂 焦糖</t>
  </si>
  <si>
    <t>115/227</t>
  </si>
  <si>
    <t>甜感高 焦糖感明显</t>
  </si>
  <si>
    <t>不耐萃 性价比稍低</t>
  </si>
  <si>
    <t>甜酒soe</t>
  </si>
  <si>
    <t>红酒 黑巧</t>
  </si>
  <si>
    <t>触感偏弱 略有酵感</t>
  </si>
  <si>
    <t>酒心巧克力</t>
  </si>
  <si>
    <t>梅子酒 刺梨 蔓越莓</t>
  </si>
  <si>
    <t>酒香明显 奶咖甜感尚可</t>
  </si>
  <si>
    <t>发酵感重</t>
  </si>
  <si>
    <t>Light Wave</t>
  </si>
  <si>
    <t>罕贝拉 红酒日晒</t>
  </si>
  <si>
    <t>红酒 石榴 樱桃 玫瑰花</t>
  </si>
  <si>
    <t>风味明显 干净透亮 性价比高</t>
  </si>
  <si>
    <t>奶咖稍撑不住</t>
  </si>
  <si>
    <t>没事 dirty</t>
  </si>
  <si>
    <t>诺德02</t>
  </si>
  <si>
    <t>烤坚果 焦糖</t>
  </si>
  <si>
    <t>72/454</t>
  </si>
  <si>
    <t>便宜 醇厚度高</t>
  </si>
  <si>
    <t>焦糊味明显 味道杂</t>
  </si>
  <si>
    <t>没事buff</t>
  </si>
  <si>
    <t>白花香 橙子 蜂蜜 黑加仑</t>
  </si>
  <si>
    <t>花香明显 整体均衡</t>
  </si>
  <si>
    <t>适当降低萃取率 冷奶咖</t>
  </si>
  <si>
    <t>Coffee kan</t>
  </si>
  <si>
    <t>G2 深烘</t>
  </si>
  <si>
    <t>焦糖黑巧</t>
  </si>
  <si>
    <t>159/200</t>
  </si>
  <si>
    <t>黑巧 谷物 焦糖</t>
  </si>
  <si>
    <t>风味不足 味道杂 性价比低</t>
  </si>
  <si>
    <t>黑蜜 塔拉珠 omini</t>
  </si>
  <si>
    <t>梨 蜜瓜 威士忌</t>
  </si>
  <si>
    <t xml:space="preserve">整体均衡 </t>
  </si>
  <si>
    <t>稍有酵感 触感稍弱</t>
  </si>
  <si>
    <t>樱桃炸弹</t>
  </si>
  <si>
    <t>烤杏仁 樱桃 可可</t>
  </si>
  <si>
    <t>119/250</t>
  </si>
  <si>
    <t>触感稍差 性价比稍低 酸质便闷</t>
  </si>
  <si>
    <t>单车soe</t>
  </si>
  <si>
    <t>芒果 莓果 黄油</t>
  </si>
  <si>
    <t>6/20</t>
  </si>
  <si>
    <t>风味微妙 余韵长 甜感高</t>
  </si>
  <si>
    <t>热奶咖稍腻</t>
  </si>
  <si>
    <t>冷萃 凉奶咖</t>
  </si>
  <si>
    <t>阿吉娜soe</t>
  </si>
  <si>
    <t>梨 蓝莓 橙汁</t>
  </si>
  <si>
    <t>90/250</t>
  </si>
  <si>
    <t>果汁感爆炸 层次丰富</t>
  </si>
  <si>
    <t xml:space="preserve">奶咖甜感稍弱 </t>
  </si>
  <si>
    <t>美式 dirty</t>
  </si>
  <si>
    <t>Yu roasyer</t>
  </si>
  <si>
    <t>紫风铃soe</t>
  </si>
  <si>
    <t>整体均衡 甜感高 复杂度高</t>
  </si>
  <si>
    <t>美式酸质偏弱</t>
  </si>
  <si>
    <t>星辰咖啡</t>
  </si>
  <si>
    <t>花香 柑橘 荔枝</t>
  </si>
  <si>
    <t>64/200</t>
  </si>
  <si>
    <t>花香明显 甜感高</t>
  </si>
  <si>
    <t>触感稍弱 热奶咖稍腻</t>
  </si>
  <si>
    <t>卡迪姆</t>
  </si>
  <si>
    <t>芒果 葡萄 可可</t>
  </si>
  <si>
    <t>奶咖甜感尚可</t>
  </si>
  <si>
    <t>风味强度低 性价比偏低</t>
  </si>
  <si>
    <t>盖德比soe</t>
  </si>
  <si>
    <t>柑橘 焦糖 柚子皮</t>
  </si>
  <si>
    <t>175/1000</t>
  </si>
  <si>
    <t>性价比高 整体均衡 甜感在线</t>
  </si>
  <si>
    <t>Chembox</t>
  </si>
  <si>
    <t>奇洛索soe</t>
  </si>
  <si>
    <t>柑橘 覆盆子 葡萄 苹果 绿茶</t>
  </si>
  <si>
    <t>酸质明亮 甜感高</t>
  </si>
  <si>
    <t>莫里托瑰夏soe</t>
  </si>
  <si>
    <t>杏桃 茉莉 橘子</t>
  </si>
  <si>
    <t>193/250</t>
  </si>
  <si>
    <t>整体均衡 干净度高</t>
  </si>
  <si>
    <t>奶咖甜感稍弱 性价比稍低</t>
  </si>
  <si>
    <t>17号咖啡工厂</t>
  </si>
  <si>
    <t>坚果 黄油饼干 松木 焦糖</t>
  </si>
  <si>
    <t>84/500</t>
  </si>
  <si>
    <t>干净均衡 性价比高 奶咖甜感在线</t>
  </si>
  <si>
    <t>微有烟感</t>
  </si>
  <si>
    <t>春季拼配</t>
  </si>
  <si>
    <t>草莓 桃子 葡萄干 玫瑰</t>
  </si>
  <si>
    <t xml:space="preserve">美式整体均衡 </t>
  </si>
  <si>
    <t>奶咖风味弱 性价比偏低</t>
  </si>
  <si>
    <t>波玛瓦卡 水洗soe</t>
  </si>
  <si>
    <t>李子 油桃 红色莓果 黄糖 可可</t>
  </si>
  <si>
    <t>水果风味明显 酸质高</t>
  </si>
  <si>
    <t>干净度稍差 低温触感稍差</t>
  </si>
  <si>
    <t>渡晚秋soe</t>
  </si>
  <si>
    <t>白色花 桃汁 奶油</t>
  </si>
  <si>
    <t>123/250</t>
  </si>
  <si>
    <t>奶咖高甜 风味突出</t>
  </si>
  <si>
    <t>美式略有负面</t>
  </si>
  <si>
    <t>多听</t>
  </si>
  <si>
    <t>橙柚花园</t>
  </si>
  <si>
    <t>紫色花 柚子 甜橙 莓果</t>
  </si>
  <si>
    <t>86/200</t>
  </si>
  <si>
    <t>整体均衡 花香余韵</t>
  </si>
  <si>
    <t>触感稍弱 略不耐萃</t>
  </si>
  <si>
    <t>玫瑰 浆果 树莓</t>
  </si>
  <si>
    <t>整日均衡 甜感尚可</t>
  </si>
  <si>
    <t>ALO pb小圆豆soe</t>
  </si>
  <si>
    <t>香蕉 草莓 蜜瓜 佛手柑</t>
  </si>
  <si>
    <t>整体均衡 甜感在线 醇厚度高</t>
  </si>
  <si>
    <t>草莓 可可 焦糖 杏脯</t>
  </si>
  <si>
    <t>整体均衡 甜感在线</t>
  </si>
  <si>
    <t>风味稍弱</t>
  </si>
  <si>
    <t>好淘气</t>
  </si>
  <si>
    <t>桃子 葡萄 苹果</t>
  </si>
  <si>
    <t>52/250</t>
  </si>
  <si>
    <t>整体均衡 奶咖甜感在线</t>
  </si>
  <si>
    <t>略不耐萃 微有负面</t>
  </si>
  <si>
    <t>如意吉象</t>
  </si>
  <si>
    <t>花香 葡萄干 莓果 香料 可可</t>
  </si>
  <si>
    <t>53/200</t>
  </si>
  <si>
    <t>层次感强 整体均衡饱满</t>
  </si>
  <si>
    <t>微有负面</t>
  </si>
  <si>
    <t>金钱至上</t>
  </si>
  <si>
    <t>莓果 利口酒 可可</t>
  </si>
  <si>
    <t>46/200</t>
  </si>
  <si>
    <t>性价比高 整体均衡 风味明显</t>
  </si>
  <si>
    <t>Karamo soe</t>
  </si>
  <si>
    <t>莓果 桃子 果汁</t>
  </si>
  <si>
    <t>103/250</t>
  </si>
  <si>
    <t>酸质干净 整体柔和</t>
  </si>
  <si>
    <t>甜感稍弱</t>
  </si>
  <si>
    <t>香草巧克力朗姆酒</t>
  </si>
  <si>
    <t>香草 巧克力 朗姆酒</t>
  </si>
  <si>
    <t>风味具象 性价比高</t>
  </si>
  <si>
    <t>青玉</t>
  </si>
  <si>
    <t>佤族威士忌</t>
  </si>
  <si>
    <t>梅子酒 深色浆果 费列罗</t>
  </si>
  <si>
    <t>48.5/227</t>
  </si>
  <si>
    <t>干净均衡 复杂度高 性价比高</t>
  </si>
  <si>
    <t>溏心栗子</t>
  </si>
  <si>
    <t>烤栗子 焦糖 黑巧</t>
  </si>
  <si>
    <t>81/454</t>
  </si>
  <si>
    <t>性价比高 甜感高</t>
  </si>
  <si>
    <t>瑰夏拼配5.0</t>
  </si>
  <si>
    <t>茉莉花 苹果 蓝莓 可可 焦糖</t>
  </si>
  <si>
    <t>美式干净度稍弱</t>
  </si>
  <si>
    <t>千蓝promax</t>
  </si>
  <si>
    <t>烤榛子 坚果 焦糖</t>
  </si>
  <si>
    <t>触感稍弱 干净度稍弱</t>
  </si>
  <si>
    <t>卡斯蒂有厌氧日晒</t>
  </si>
  <si>
    <t>利口酒 红色水果 罗望子 巧克力 麦芽</t>
  </si>
  <si>
    <t>78.5/227</t>
  </si>
  <si>
    <t>复杂度高 风味明显</t>
  </si>
  <si>
    <t>美式略有酵感</t>
  </si>
  <si>
    <t>Elto soe</t>
  </si>
  <si>
    <t>葡萄 黑莓 荔枝 焦糖</t>
  </si>
  <si>
    <t>87/250</t>
  </si>
  <si>
    <t>美式酸质清爽 奶咖甜感高</t>
  </si>
  <si>
    <t>罗马夹心饼干</t>
  </si>
  <si>
    <t>坚果 饼干 谷物</t>
  </si>
  <si>
    <t>79/300</t>
  </si>
  <si>
    <t>咖啡因含量高</t>
  </si>
  <si>
    <t>风味不足 性价比低</t>
  </si>
  <si>
    <t>当你微笑时</t>
  </si>
  <si>
    <t>花香 大吉岭茶 蜂蜜 柚子</t>
  </si>
  <si>
    <t>香气明显 甜感高 性价比高</t>
  </si>
  <si>
    <t>甜橙soe</t>
  </si>
  <si>
    <t>葡萄柚 香草 甜橙</t>
  </si>
  <si>
    <t>巧克拉</t>
  </si>
  <si>
    <t>黑巧 焦糖 坚果</t>
  </si>
  <si>
    <t>65/420</t>
  </si>
  <si>
    <t xml:space="preserve">性价比高 </t>
  </si>
  <si>
    <t>瑰夏 水洗 soe</t>
  </si>
  <si>
    <t>黄柠檬 葡萄蜜柚 伯爵茶</t>
  </si>
  <si>
    <t>143/200</t>
  </si>
  <si>
    <t>酸质明亮 香气丰富</t>
  </si>
  <si>
    <t>甜感稍弱 性价比低</t>
  </si>
  <si>
    <t>波旁 水洗soe</t>
  </si>
  <si>
    <t>红茶 苹果酱 柑橘</t>
  </si>
  <si>
    <t>91/200</t>
  </si>
  <si>
    <t>奶咖甜感高 茶韵明显</t>
  </si>
  <si>
    <t>斗总</t>
  </si>
  <si>
    <t>花魁X soe</t>
  </si>
  <si>
    <t>花香 红茶 草莓</t>
  </si>
  <si>
    <t>109/500</t>
  </si>
  <si>
    <t>奶咖花香明显 性价比高</t>
  </si>
  <si>
    <t>美式稍有负面</t>
  </si>
  <si>
    <t>桃子 柚子 黑巧</t>
  </si>
  <si>
    <t>香气割裂</t>
  </si>
  <si>
    <t>奶嘴</t>
  </si>
  <si>
    <t>水洗soe</t>
  </si>
  <si>
    <t>小红莓 黄糖 红茶 提拉米苏</t>
  </si>
  <si>
    <t>酸质干净 水果风味明显</t>
  </si>
  <si>
    <t>阳光假日拼配</t>
  </si>
  <si>
    <t>综合花香 果汁 牛奶布丁</t>
  </si>
  <si>
    <t>58/100</t>
  </si>
  <si>
    <t xml:space="preserve">性价比稍低 </t>
  </si>
  <si>
    <t>复杂度偏高</t>
  </si>
  <si>
    <t>小川</t>
  </si>
  <si>
    <t>009精品拼配</t>
  </si>
  <si>
    <t>红酒 琥珀 柏木 黑巧</t>
  </si>
  <si>
    <t>99/150</t>
  </si>
  <si>
    <t>香气微妙 甜感高</t>
  </si>
  <si>
    <t>咖乐透</t>
  </si>
  <si>
    <t>莫奈晨雾</t>
  </si>
  <si>
    <t>花香 葡萄柚 红茶</t>
  </si>
  <si>
    <t>酸质轻盈 甘蔗甜感</t>
  </si>
  <si>
    <t>热奶咖风味稍弱</t>
  </si>
  <si>
    <t>欧隆索soe</t>
  </si>
  <si>
    <t>柠檬 柚子 红茶</t>
  </si>
  <si>
    <t>美式干净透亮 甜感在线</t>
  </si>
  <si>
    <t>奶咖风味偏弱</t>
  </si>
  <si>
    <t>美式 冷萃</t>
  </si>
  <si>
    <t>瑞幸</t>
  </si>
  <si>
    <t>柑橘 红柚 茶花</t>
  </si>
  <si>
    <t>余韵尚可 风味尚可</t>
  </si>
  <si>
    <t>烘焙日期不新鲜</t>
  </si>
  <si>
    <t>京东</t>
  </si>
  <si>
    <t>哥伦比亚soe</t>
  </si>
  <si>
    <t>黑巧 焦苦</t>
  </si>
  <si>
    <t>139/1000</t>
  </si>
  <si>
    <t>风味差 瑕疵率高</t>
  </si>
  <si>
    <t>布库soe</t>
  </si>
  <si>
    <t>菠萝 柑橘 杏桃 莓果</t>
  </si>
  <si>
    <t>84/200</t>
  </si>
  <si>
    <t>酸度偏高 触感稍弱</t>
  </si>
  <si>
    <t>复兴拼配</t>
  </si>
  <si>
    <t>榛果 可可 发酵</t>
  </si>
  <si>
    <t>发酵感明显 味道杂</t>
  </si>
  <si>
    <t>春季拼配 深烘</t>
  </si>
  <si>
    <t>蜜柚 菊花茶 焦糖</t>
  </si>
  <si>
    <t>83/200</t>
  </si>
  <si>
    <t>余韵微妙 整体均衡</t>
  </si>
  <si>
    <t>美式酸感偏弱</t>
  </si>
  <si>
    <t>春季拼配 浅烘</t>
  </si>
  <si>
    <t>天竺葵 青柠 蜜柚 佛手柑 茉莉绿茶</t>
  </si>
  <si>
    <t>111/200</t>
  </si>
  <si>
    <t>香气馥郁 层次丰富</t>
  </si>
  <si>
    <t>触感稍弱 小贵</t>
  </si>
  <si>
    <t>雅叶soe</t>
  </si>
  <si>
    <t>洋甘菊 柚子 焦糖 莓果</t>
  </si>
  <si>
    <t>106/200</t>
  </si>
  <si>
    <t>干净度高 层次丰富 甜感在线</t>
  </si>
  <si>
    <t>小贵</t>
  </si>
  <si>
    <t>Sight Glass</t>
  </si>
  <si>
    <t>橙花 罗望子 草莓</t>
  </si>
  <si>
    <t>整体均衡 甜感尚可 余韵微妙</t>
  </si>
  <si>
    <t>矮人定制 Danche</t>
  </si>
  <si>
    <t>茉莉花 冰糖 伯爵茶 柑橘</t>
  </si>
  <si>
    <t>46/120</t>
  </si>
  <si>
    <t>花香四溢 甜感在线 性价比高</t>
  </si>
  <si>
    <t>适当调细研磨度</t>
  </si>
  <si>
    <t>002号拼配</t>
  </si>
  <si>
    <t>黄油 烤吐司 烟丝 黑巧</t>
  </si>
  <si>
    <t>醇厚度高 口感扎实</t>
  </si>
  <si>
    <t>酸质偏弱 性价比偏低</t>
  </si>
  <si>
    <t>弥翼</t>
  </si>
  <si>
    <t>莓莓红颜soe</t>
  </si>
  <si>
    <t>蓝莓 柑橘 茉莉花</t>
  </si>
  <si>
    <t>风味稍弱 触感稍弱</t>
  </si>
  <si>
    <t>佛手柑 姜花 青柠 薄荷绿茶</t>
  </si>
  <si>
    <t>清爽干净 茶香余韵</t>
  </si>
  <si>
    <t>它香</t>
  </si>
  <si>
    <t>富的流油</t>
  </si>
  <si>
    <t>油薅 焦糊</t>
  </si>
  <si>
    <t>140/200</t>
  </si>
  <si>
    <t>瑕疵率高 性价比低 负面明显</t>
  </si>
  <si>
    <t>厄瓜多尔</t>
  </si>
  <si>
    <t>加强铁皮卡 水洗 soe</t>
  </si>
  <si>
    <t>西梅 梅子干 黄糖</t>
  </si>
  <si>
    <t>酸质透亮 层次丰富 余韵长</t>
  </si>
  <si>
    <t>山姆</t>
  </si>
  <si>
    <t>铂金咖啡豆</t>
  </si>
  <si>
    <t>120/800</t>
  </si>
  <si>
    <t>定价合理 醇厚度高</t>
  </si>
  <si>
    <t>缺乏风味 包装简陋</t>
  </si>
  <si>
    <t>粉波旁soe</t>
  </si>
  <si>
    <t>李子 青提 伯爵茶</t>
  </si>
  <si>
    <t>风味明显 层次感尚可</t>
  </si>
  <si>
    <t>触感稍弱 甜感稍弱 略有负面</t>
  </si>
  <si>
    <t>开心果</t>
  </si>
  <si>
    <t>烧焦的烂木头</t>
  </si>
  <si>
    <t>109.9/200</t>
  </si>
  <si>
    <t>瑕疵率高 风味差 性价比低</t>
  </si>
  <si>
    <t>蒙塔莎 日晒 soe</t>
  </si>
  <si>
    <t>甜花 橙子 核果</t>
  </si>
  <si>
    <t>低温触感稍差</t>
  </si>
  <si>
    <t>蒙塔莎 蜜处理</t>
  </si>
  <si>
    <t>荔枝 桃花 柠檬</t>
  </si>
  <si>
    <t>49/120</t>
  </si>
  <si>
    <t>Lost in summer 冷萃</t>
  </si>
  <si>
    <t>树莓 杏桃 蜂蜜 红茶</t>
  </si>
  <si>
    <t>72./200</t>
  </si>
  <si>
    <t>酵感偏重</t>
  </si>
  <si>
    <t>坚果 烟熏</t>
  </si>
  <si>
    <t>99.9/1000</t>
  </si>
  <si>
    <t>瑕疵率高 负面风味明显</t>
  </si>
  <si>
    <t>花魁omni</t>
  </si>
  <si>
    <t>荔枝 蓝莓 菠萝 花香</t>
  </si>
  <si>
    <t>60/150</t>
  </si>
  <si>
    <t>花香明显 奶咖甜感高</t>
  </si>
  <si>
    <t>美式酸质稍沉 微有负面</t>
  </si>
  <si>
    <t>黄油甜豆豆</t>
  </si>
  <si>
    <t>黄油可颂 白巧克力</t>
  </si>
  <si>
    <t>70/454</t>
  </si>
  <si>
    <t>风味明显 甜感高 性价比高</t>
  </si>
  <si>
    <t>气泡酒 瑰夏soe</t>
  </si>
  <si>
    <t>洛神花 香槟酒 荔枝干 黄桃</t>
  </si>
  <si>
    <t>159/100</t>
  </si>
  <si>
    <t>层次丰富 香气四溢</t>
  </si>
  <si>
    <t>价格贵 高温风味偏弱</t>
  </si>
  <si>
    <t>冷萃 冰滴 冷奶咖</t>
  </si>
  <si>
    <t>麒麟方舟</t>
  </si>
  <si>
    <t>蔓越莓曲奇</t>
  </si>
  <si>
    <t>蔓越莓干 黑巧 奶油</t>
  </si>
  <si>
    <t>43/200</t>
  </si>
  <si>
    <t>稍不耐萃</t>
  </si>
  <si>
    <t>Rumudamo soe</t>
  </si>
  <si>
    <t>红色花 菠萝 蓝莓 桃子</t>
  </si>
  <si>
    <t>87.3/200</t>
  </si>
  <si>
    <t>果香明显 层次丰富 甜感在线</t>
  </si>
  <si>
    <t>微有酵感 小贵</t>
  </si>
  <si>
    <t>橙香威化</t>
  </si>
  <si>
    <t>甜橙 坚果 焦糖 威化</t>
  </si>
  <si>
    <t>略不耐萃 干净度稍弱</t>
  </si>
  <si>
    <t>曲奇饼干  莓果酸质</t>
  </si>
  <si>
    <t>76.5/500</t>
  </si>
  <si>
    <t>莓果炸弹</t>
  </si>
  <si>
    <t>蓝莓果酱 樱桃 薄荷糖 红糖</t>
  </si>
  <si>
    <t>39/120</t>
  </si>
  <si>
    <t>风味明显 酸质明亮</t>
  </si>
  <si>
    <t>风味单一 略有酵感</t>
  </si>
  <si>
    <t>甜花香 绿茶 柑橘</t>
  </si>
  <si>
    <t>花香四溢 清新悠长</t>
  </si>
  <si>
    <t>全水洗拼配pro</t>
  </si>
  <si>
    <t>白花 佛手柑 甜橙 红茶</t>
  </si>
  <si>
    <t>188/200</t>
  </si>
  <si>
    <t>柑橘 水果糖 花香</t>
  </si>
  <si>
    <t>风味明显 酸甜均衡</t>
  </si>
  <si>
    <t>综合拼配pro</t>
  </si>
  <si>
    <t>坚果 红糖 杏脯</t>
  </si>
  <si>
    <t>76/200</t>
  </si>
  <si>
    <t>酸质稍弱 性价比微低</t>
  </si>
  <si>
    <t>溏心菠萝soe</t>
  </si>
  <si>
    <t>菠萝 百香果 酒香</t>
  </si>
  <si>
    <t>59/252</t>
  </si>
  <si>
    <t>酵感明显</t>
  </si>
  <si>
    <t>匿名者4.0</t>
  </si>
  <si>
    <t>茉莉花 桃子 甜橙 蜂蜜</t>
  </si>
  <si>
    <t>蛋糕匣子</t>
  </si>
  <si>
    <t>葡萄 深色浆果 核果</t>
  </si>
  <si>
    <t>118/250</t>
  </si>
  <si>
    <t>整体均衡 风味明显</t>
  </si>
  <si>
    <t>太啡糖</t>
  </si>
  <si>
    <t>赛级soe</t>
  </si>
  <si>
    <t>蜜饯 枫糖 莲子</t>
  </si>
  <si>
    <t>低温触感稍弱</t>
  </si>
  <si>
    <t>睡美人（低因）</t>
  </si>
  <si>
    <t>烤红薯皮 烤坚果</t>
  </si>
  <si>
    <t>低因 甜感尚可</t>
  </si>
  <si>
    <t>触感差 风味偏弱</t>
  </si>
  <si>
    <t>叻事番茄</t>
  </si>
  <si>
    <t>番茄 话梅糖</t>
  </si>
  <si>
    <t>微不耐萃</t>
  </si>
  <si>
    <t>甜橙 油桃 红茶</t>
  </si>
  <si>
    <t>性价比稍低 层次感稍弱</t>
  </si>
  <si>
    <t>鲜花饼</t>
  </si>
  <si>
    <t>乌梅 话梅糖 太妃糖 鲜花饼</t>
  </si>
  <si>
    <t>略有酵感 干净度稍低</t>
  </si>
  <si>
    <t>吉格萨soe</t>
  </si>
  <si>
    <t>油桃 甜杏 伯爵红茶</t>
  </si>
  <si>
    <t>67.5/200</t>
  </si>
  <si>
    <t>甜感在线 均衡清爽</t>
  </si>
  <si>
    <t>冷奶咖 适当减少奶量</t>
  </si>
  <si>
    <t>溏心荔枝</t>
  </si>
  <si>
    <t>核果 红茶 花香</t>
  </si>
  <si>
    <t>39/112</t>
  </si>
  <si>
    <t>微有酵感 干净度稍弱</t>
  </si>
  <si>
    <t>洪都拉斯</t>
  </si>
  <si>
    <t>潘塔纳庄园soe</t>
  </si>
  <si>
    <t>蜜饯 黄杏 蜜瓜 巧克力</t>
  </si>
  <si>
    <t>风味不足 略有酵感</t>
  </si>
  <si>
    <t>赏花庄园 泉水冷发酵水洗瑰夏combo版</t>
  </si>
  <si>
    <t>杏脯 杏皮水 白花香</t>
  </si>
  <si>
    <t>228/200</t>
  </si>
  <si>
    <t>风味明显 干净 甜感高</t>
  </si>
  <si>
    <t>层次感弱 略贵</t>
  </si>
  <si>
    <t>Padre</t>
  </si>
  <si>
    <t>季节拼配</t>
  </si>
  <si>
    <t>柑橘 太妃糖 杏仁</t>
  </si>
  <si>
    <t>96.6/250g</t>
  </si>
  <si>
    <t>整体均衡 酸质柔和</t>
  </si>
  <si>
    <t>略不耐萃 瑕疵率高</t>
  </si>
  <si>
    <t>晴王葡萄</t>
  </si>
  <si>
    <t>78/100</t>
  </si>
  <si>
    <t>解药</t>
  </si>
  <si>
    <t>阿吉娜 水洗</t>
  </si>
  <si>
    <t>山竹 杏桃 橘子 橙花</t>
  </si>
  <si>
    <t>70/100</t>
  </si>
  <si>
    <t>风味明显 余韵长</t>
  </si>
  <si>
    <t>填仓团</t>
  </si>
  <si>
    <t>ALO ee</t>
  </si>
  <si>
    <t>紫罗兰 荔枝 水果糖</t>
  </si>
  <si>
    <t>51/100</t>
  </si>
  <si>
    <t>便宜 甜感尚可</t>
  </si>
  <si>
    <t>风味不足 负面明显</t>
  </si>
  <si>
    <t>水洗 奇洛索</t>
  </si>
  <si>
    <t>甜花香 柚子茶 橙皮</t>
  </si>
  <si>
    <t>96/150</t>
  </si>
  <si>
    <t>干净度高 风味明显 性价比高</t>
  </si>
  <si>
    <t>红香槟 厌氧日晒</t>
  </si>
  <si>
    <t>红酒 葡萄 热带水果</t>
  </si>
  <si>
    <t>57/224</t>
  </si>
  <si>
    <t>性价比高 风味明显</t>
  </si>
  <si>
    <t>酵感明显 触感稍差</t>
  </si>
  <si>
    <t>前景庄园 瑰夏 水洗</t>
  </si>
  <si>
    <t xml:space="preserve">柠檬草 青提 绿茶 茉莉 </t>
  </si>
  <si>
    <t>98/100</t>
  </si>
  <si>
    <t>干净清爽 酸质明亮</t>
  </si>
  <si>
    <t>层次感弱 低温微有负面</t>
  </si>
  <si>
    <t>Selfknow</t>
  </si>
  <si>
    <t>Elto 日晒</t>
  </si>
  <si>
    <t>荔枝 杏桃 柠檬</t>
  </si>
  <si>
    <t>36.9/100</t>
  </si>
  <si>
    <t>蕾利达 瑰夏 冷房处理</t>
  </si>
  <si>
    <t>荔枝 龙眼 芒果 水果酒</t>
  </si>
  <si>
    <t>54/16</t>
  </si>
  <si>
    <t>风味明显 层次丰富</t>
  </si>
  <si>
    <t>性价比偏低 低温略有负面</t>
  </si>
  <si>
    <t>阿黛拉庄园拼配</t>
  </si>
  <si>
    <t>西柚 血橙 茉莉花 杏桃 白茶</t>
  </si>
  <si>
    <t>220/60</t>
  </si>
  <si>
    <t>酸质干净 风味明显</t>
  </si>
  <si>
    <t>层次感弱 性价比低</t>
  </si>
  <si>
    <t>蓝色山谷 瑰夏</t>
  </si>
  <si>
    <t>柚子皮 水果酸质 伯爵茶 炒瓜子 木质</t>
  </si>
  <si>
    <t>398/250</t>
  </si>
  <si>
    <t>甜感在线 高温顺滑度尚可</t>
  </si>
  <si>
    <t>酸质偏闷 风味不足 低温负面明显 性价比低</t>
  </si>
  <si>
    <t>蕾利达 瑰夏 蜜处理</t>
  </si>
  <si>
    <t>菠萝 芒果 红色莓果 荔枝 花茶</t>
  </si>
  <si>
    <t>60.5/16</t>
  </si>
  <si>
    <t>层次丰富 余韵长 酸质干净</t>
  </si>
  <si>
    <t>巴拿马+哥伦比亚</t>
  </si>
  <si>
    <t>爆炸火花</t>
  </si>
  <si>
    <t>蔓越莓 草莓 樱桃 洛神花茶</t>
  </si>
  <si>
    <t>118/60</t>
  </si>
  <si>
    <t xml:space="preserve">风味明显 触感柔和 </t>
  </si>
  <si>
    <t>风味单一 略有酵感 性价比低</t>
  </si>
  <si>
    <t>木质  焦糖 烟熏</t>
  </si>
  <si>
    <t>66/100</t>
  </si>
  <si>
    <t>余韵长 回甘明显</t>
  </si>
  <si>
    <t>烟感严重</t>
  </si>
  <si>
    <t>Yu roaster</t>
  </si>
  <si>
    <t>耶加雪菲 日晒</t>
  </si>
  <si>
    <t>紫色花 热带水果</t>
  </si>
  <si>
    <t>92/230</t>
  </si>
  <si>
    <t>花香明显 整体均衡 性价比高</t>
  </si>
  <si>
    <t>低温稍有杂味</t>
  </si>
  <si>
    <t>sukha</t>
  </si>
  <si>
    <t>红布林 车厘子 杨桃 香草 乌龙茶</t>
  </si>
  <si>
    <t>层次丰富 复杂度高</t>
  </si>
  <si>
    <t>哈马修 阿德南 日晒</t>
  </si>
  <si>
    <t>紫色花 蓝莓 葡萄</t>
  </si>
  <si>
    <t>65/100</t>
  </si>
  <si>
    <t>风味明显 干净均衡 性价比高</t>
  </si>
  <si>
    <t>佳赛茜</t>
  </si>
  <si>
    <t>小番茄 乌梅</t>
  </si>
  <si>
    <t>微有负面 干净度稍弱</t>
  </si>
  <si>
    <t>甜橙 山竹 杏桃 青苹果</t>
  </si>
  <si>
    <t>酸质明亮 性价比高</t>
  </si>
  <si>
    <t>微有焦味</t>
  </si>
  <si>
    <t>赏花庄园 泉水冷发酵水洗瑰夏</t>
  </si>
  <si>
    <t>茉莉花 杏干 冰糖 柑橘</t>
  </si>
  <si>
    <t>128/100</t>
  </si>
  <si>
    <t>干净均衡 低温甜感高 花香明显</t>
  </si>
  <si>
    <t>高温略有生味</t>
  </si>
  <si>
    <t xml:space="preserve">冰冲 </t>
  </si>
  <si>
    <t>班莎 哈特莎 74158 厌氧日晒</t>
  </si>
  <si>
    <t>咖啡花香 草莓 树莓 芒果 百香果</t>
  </si>
  <si>
    <t>85/100</t>
  </si>
  <si>
    <t>酸质尚可 风味明显 触感顺滑</t>
  </si>
  <si>
    <t>酵感明显 略有负面</t>
  </si>
  <si>
    <t>Let’s Grind</t>
  </si>
  <si>
    <t>杏桃 甜橙 菠萝</t>
  </si>
  <si>
    <t>60/120</t>
  </si>
  <si>
    <t>酸质干净 触感柔和 性价比高</t>
  </si>
  <si>
    <t>层次稍单一</t>
  </si>
  <si>
    <t>风味</t>
  </si>
  <si>
    <t>甜感</t>
  </si>
  <si>
    <t>酸质</t>
  </si>
  <si>
    <t>触感</t>
  </si>
  <si>
    <t>干净度</t>
  </si>
  <si>
    <t>性价比</t>
  </si>
  <si>
    <t>(空白)</t>
  </si>
  <si>
    <t>总计</t>
  </si>
  <si>
    <t>计数项:最新评分</t>
  </si>
  <si>
    <t>评分</t>
  </si>
  <si>
    <t>数量</t>
  </si>
  <si>
    <t>百分比</t>
  </si>
  <si>
    <t>《3</t>
  </si>
  <si>
    <t>》4.5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</si>
</sst>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);[Red]\(0\)"/>
    <numFmt numFmtId="178" formatCode="0.0_);[Red]\(0.0\)"/>
  </numFmts>
  <fonts count="24">
    <font>
      <sz val="11"/>
      <color theme="1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92D05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0" fontId="0" fillId="0" borderId="0" xfId="3" applyNumberFormat="1">
      <alignment vertical="center"/>
    </xf>
    <xf numFmtId="0" fontId="0" fillId="0" borderId="0" xfId="0" applyAlignment="1">
      <alignment horizontal="right" vertical="center"/>
    </xf>
    <xf numFmtId="176" fontId="0" fillId="0" borderId="0" xfId="3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178" fontId="1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178" fontId="0" fillId="0" borderId="0" xfId="0" applyNumberFormat="1" applyFill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178" fontId="0" fillId="0" borderId="0" xfId="0" applyNumberForma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14" fontId="0" fillId="0" borderId="0" xfId="0" applyNumberForma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494315954528"/>
          <c:y val="0.101393655651635"/>
          <c:w val="0.44296354370835"/>
          <c:h val="0.793167992512869"/>
        </c:manualLayout>
      </c:layout>
      <c:radarChart>
        <c:radarStyle val="marker"/>
        <c:varyColors val="0"/>
        <c:ser>
          <c:idx val="0"/>
          <c:order val="0"/>
          <c:spPr>
            <a:ln w="9525" cap="flat" cmpd="sng">
              <a:gradFill>
                <a:lin ang="0" scaled="0"/>
              </a:gradFill>
              <a:prstDash val="solid"/>
              <a:headEnd type="none"/>
              <a:tailEnd type="none"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  <a:sp3d contourW="9525"/>
          </c:spPr>
          <c:marker>
            <c:symbol val="none"/>
          </c:marker>
          <c:dLbls>
            <c:delete val="1"/>
          </c:dLbls>
          <c:cat>
            <c:strRef>
              <c:f>评分图!$A$1:$F$1</c:f>
              <c:strCache>
                <c:ptCount val="6"/>
                <c:pt idx="0">
                  <c:v>风味</c:v>
                </c:pt>
                <c:pt idx="1">
                  <c:v>甜感</c:v>
                </c:pt>
                <c:pt idx="2">
                  <c:v>酸质</c:v>
                </c:pt>
                <c:pt idx="3">
                  <c:v>触感</c:v>
                </c:pt>
                <c:pt idx="4">
                  <c:v>干净度</c:v>
                </c:pt>
                <c:pt idx="5">
                  <c:v>性价比</c:v>
                </c:pt>
              </c:strCache>
            </c:strRef>
          </c:cat>
          <c:val>
            <c:numRef>
              <c:f>评分图!$A$2:$F$2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0804"/>
        <c:axId val="15648134"/>
      </c:radarChart>
      <c:catAx>
        <c:axId val="1324608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48134"/>
        <c:crosses val="autoZero"/>
        <c:auto val="1"/>
        <c:lblAlgn val="ctr"/>
        <c:lblOffset val="100"/>
        <c:noMultiLvlLbl val="0"/>
      </c:catAx>
      <c:valAx>
        <c:axId val="1564813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4608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22637536194"/>
          <c:y val="0.0627830704357333"/>
          <c:w val="0.727954724927612"/>
          <c:h val="0.863813837263783"/>
        </c:manualLayout>
      </c:layout>
      <c:radarChart>
        <c:radarStyle val="marker"/>
        <c:varyColors val="0"/>
        <c:ser>
          <c:idx val="0"/>
          <c:order val="0"/>
          <c:spPr>
            <a:ln w="34925" cap="rnd">
              <a:solidFill>
                <a:srgbClr val="C00000"/>
              </a:solidFill>
              <a:round/>
            </a:ln>
            <a:effectLst/>
            <a:sp3d contourW="34925"/>
          </c:spPr>
          <c:marker>
            <c:symbol val="none"/>
          </c:marker>
          <c:dLbls>
            <c:delete val="1"/>
          </c:dLbls>
          <c:cat>
            <c:strRef>
              <c:f>评分图!$A$5:$E$5</c:f>
              <c:strCache>
                <c:ptCount val="5"/>
                <c:pt idx="0">
                  <c:v>性价比</c:v>
                </c:pt>
                <c:pt idx="1">
                  <c:v>热美式</c:v>
                </c:pt>
                <c:pt idx="2">
                  <c:v>冰美式</c:v>
                </c:pt>
                <c:pt idx="3">
                  <c:v>热奶咖</c:v>
                </c:pt>
                <c:pt idx="4">
                  <c:v>冷奶咖</c:v>
                </c:pt>
              </c:strCache>
            </c:strRef>
          </c:cat>
          <c:val>
            <c:numRef>
              <c:f>评分图!$A$6:$E$6</c:f>
              <c:numCache>
                <c:formatCode>0_);[Red]\(0\)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212175"/>
        <c:axId val="908483413"/>
      </c:radarChart>
      <c:catAx>
        <c:axId val="838212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ln w="28575" cmpd="sng">
                  <a:noFill/>
                  <a:prstDash val="solid"/>
                </a:ln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</a:p>
        </c:txPr>
        <c:crossAx val="908483413"/>
        <c:crosses val="autoZero"/>
        <c:auto val="1"/>
        <c:lblAlgn val="ctr"/>
        <c:lblOffset val="100"/>
        <c:noMultiLvlLbl val="0"/>
      </c:catAx>
      <c:valAx>
        <c:axId val="908483413"/>
        <c:scaling>
          <c:orientation val="minMax"/>
        </c:scaling>
        <c:delete val="1"/>
        <c:axPos val="l"/>
        <c:majorGridlines>
          <c:spPr>
            <a:ln w="285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382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400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[第8个矮人咖啡豆测评记录.xlsx]Sheet4!数据透视表1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Sheet4!$B$3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1.5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Sheet4!$C$3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Sheet4!$D$1:$D$2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Sheet4!$D$3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ser>
          <c:idx val="3"/>
          <c:order val="3"/>
          <c:tx>
            <c:strRef>
              <c:f>Sheet4!$E$1:$E$2</c:f>
              <c:strCache>
                <c:ptCount val="1"/>
                <c:pt idx="0">
                  <c:v>2.5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Sheet4!$E$3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ser>
          <c:idx val="4"/>
          <c:order val="4"/>
          <c:tx>
            <c:strRef>
              <c:f>Sheet4!$F$1:$F$2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Sheet4!$F$3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ser>
          <c:idx val="5"/>
          <c:order val="5"/>
          <c:tx>
            <c:strRef>
              <c:f>Sheet4!$G$1:$G$2</c:f>
              <c:strCache>
                <c:ptCount val="1"/>
                <c:pt idx="0">
                  <c:v>3.5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Sheet4!$G$3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</c:ser>
        <c:ser>
          <c:idx val="6"/>
          <c:order val="6"/>
          <c:tx>
            <c:strRef>
              <c:f>Sheet4!$H$1:$H$2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Sheet4!$H$3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</c:ser>
        <c:ser>
          <c:idx val="7"/>
          <c:order val="7"/>
          <c:tx>
            <c:strRef>
              <c:f>Sheet4!$I$1:$I$2</c:f>
              <c:strCache>
                <c:ptCount val="1"/>
                <c:pt idx="0">
                  <c:v>4.5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Sheet4!$I$3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</c:ser>
        <c:ser>
          <c:idx val="8"/>
          <c:order val="8"/>
          <c:tx>
            <c:strRef>
              <c:f>Sheet4!$J$1:$J$2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Sheet4!$J$3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ser>
          <c:idx val="9"/>
          <c:order val="9"/>
          <c:tx>
            <c:strRef>
              <c:f>Sheet4!$K$1:$K$2</c:f>
              <c:strCache>
                <c:ptCount val="1"/>
                <c:pt idx="0">
                  <c:v>3-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Sheet4!$K$3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10"/>
          <c:order val="10"/>
          <c:tx>
            <c:strRef>
              <c:f>Sheet4!$L$1:$L$2</c:f>
              <c:strCache>
                <c:ptCount val="1"/>
                <c:pt idx="0">
                  <c:v>3.5-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Sheet4!$L$3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11"/>
          <c:order val="11"/>
          <c:tx>
            <c:strRef>
              <c:f>Sheet4!$M$1:$M$2</c:f>
              <c:strCache>
                <c:ptCount val="1"/>
                <c:pt idx="0">
                  <c:v>3.5+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Sheet4!$M$3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ser>
          <c:idx val="12"/>
          <c:order val="12"/>
          <c:tx>
            <c:strRef>
              <c:f>Sheet4!$N$1:$N$2</c:f>
              <c:strCache>
                <c:ptCount val="1"/>
                <c:pt idx="0">
                  <c:v>3+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Sheet4!$N$3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3"/>
          <c:order val="13"/>
          <c:tx>
            <c:strRef>
              <c:f>Sheet4!$O$1:$O$2</c:f>
              <c:strCache>
                <c:ptCount val="1"/>
                <c:pt idx="0">
                  <c:v>4-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Sheet4!$O$3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ser>
          <c:idx val="14"/>
          <c:order val="14"/>
          <c:tx>
            <c:strRef>
              <c:f>Sheet4!$P$1:$P$2</c:f>
              <c:strCache>
                <c:ptCount val="1"/>
                <c:pt idx="0">
                  <c:v>4.5-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Sheet4!$P$3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ser>
          <c:idx val="15"/>
          <c:order val="15"/>
          <c:tx>
            <c:strRef>
              <c:f>Sheet4!$Q$1:$Q$2</c:f>
              <c:strCache>
                <c:ptCount val="1"/>
                <c:pt idx="0">
                  <c:v>4.5+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Sheet4!$Q$3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16"/>
          <c:order val="16"/>
          <c:tx>
            <c:strRef>
              <c:f>Sheet4!$R$1:$R$2</c:f>
              <c:strCache>
                <c:ptCount val="1"/>
                <c:pt idx="0">
                  <c:v>4+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Sheet4!$R$3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</c:ser>
        <c:ser>
          <c:idx val="17"/>
          <c:order val="17"/>
          <c:tx>
            <c:strRef>
              <c:f>Sheet4!$S$1:$S$2</c:f>
              <c:strCache>
                <c:ptCount val="1"/>
                <c:pt idx="0">
                  <c:v>5-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Sheet4!$S$3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ser>
          <c:idx val="18"/>
          <c:order val="18"/>
          <c:tx>
            <c:strRef>
              <c:f>Sheet4!$T$1:$T$2</c:f>
              <c:strCache>
                <c:ptCount val="1"/>
                <c:pt idx="0">
                  <c:v>(空白)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Sheet4!$T$3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525742"/>
        <c:axId val="754603295"/>
      </c:barChart>
      <c:catAx>
        <c:axId val="4465257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603295"/>
        <c:crosses val="autoZero"/>
        <c:auto val="1"/>
        <c:lblAlgn val="ctr"/>
        <c:lblOffset val="100"/>
        <c:noMultiLvlLbl val="0"/>
      </c:catAx>
      <c:valAx>
        <c:axId val="7546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5257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Sheet4!$A$8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Sheet4!$B$7:$S$7</c:f>
              <c:strCache>
                <c:ptCount val="1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3-</c:v>
                </c:pt>
                <c:pt idx="5">
                  <c:v>3</c:v>
                </c:pt>
                <c:pt idx="6">
                  <c:v>3+</c:v>
                </c:pt>
                <c:pt idx="7">
                  <c:v>3.5-</c:v>
                </c:pt>
                <c:pt idx="8">
                  <c:v>3.5</c:v>
                </c:pt>
                <c:pt idx="9">
                  <c:v>3.5+</c:v>
                </c:pt>
                <c:pt idx="10">
                  <c:v>4-</c:v>
                </c:pt>
                <c:pt idx="11">
                  <c:v>4</c:v>
                </c:pt>
                <c:pt idx="12">
                  <c:v>4+</c:v>
                </c:pt>
                <c:pt idx="13">
                  <c:v>4.5-</c:v>
                </c:pt>
                <c:pt idx="14">
                  <c:v>4.5</c:v>
                </c:pt>
                <c:pt idx="15">
                  <c:v>4.5+</c:v>
                </c:pt>
                <c:pt idx="16">
                  <c:v>5-</c:v>
                </c:pt>
                <c:pt idx="17">
                  <c:v>5</c:v>
                </c:pt>
              </c:strCache>
            </c:strRef>
          </c:cat>
          <c:val>
            <c:numRef>
              <c:f>Sheet4!$B$8:$S$8</c:f>
              <c:numCache>
                <c:formatCode>General</c:formatCode>
                <c:ptCount val="18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14</c:v>
                </c:pt>
                <c:pt idx="4">
                  <c:v>5</c:v>
                </c:pt>
                <c:pt idx="5">
                  <c:v>19</c:v>
                </c:pt>
                <c:pt idx="6">
                  <c:v>4</c:v>
                </c:pt>
                <c:pt idx="7">
                  <c:v>5</c:v>
                </c:pt>
                <c:pt idx="8">
                  <c:v>43</c:v>
                </c:pt>
                <c:pt idx="9">
                  <c:v>7</c:v>
                </c:pt>
                <c:pt idx="10">
                  <c:v>28</c:v>
                </c:pt>
                <c:pt idx="11">
                  <c:v>79</c:v>
                </c:pt>
                <c:pt idx="12">
                  <c:v>67</c:v>
                </c:pt>
                <c:pt idx="13">
                  <c:v>16</c:v>
                </c:pt>
                <c:pt idx="14">
                  <c:v>41</c:v>
                </c:pt>
                <c:pt idx="15">
                  <c:v>5</c:v>
                </c:pt>
                <c:pt idx="16">
                  <c:v>9</c:v>
                </c:pt>
                <c:pt idx="17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89399949"/>
        <c:axId val="234578222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Sheet4!$A$7</c15:sqref>
                        </c15:formulaRef>
                      </c:ext>
                    </c:extLst>
                    <c:strCache>
                      <c:ptCount val="1"/>
                      <c:pt idx="0">
                        <c:v>评分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Sheet4!$B$7:$S$7</c15:sqref>
                        </c15:formulaRef>
                      </c:ext>
                    </c:extLst>
                    <c:strCache>
                      <c:ptCount val="18"/>
                      <c:pt idx="0">
                        <c:v>1</c:v>
                      </c:pt>
                      <c:pt idx="1">
                        <c:v>1.5</c:v>
                      </c:pt>
                      <c:pt idx="2">
                        <c:v>2</c:v>
                      </c:pt>
                      <c:pt idx="3">
                        <c:v>2.5</c:v>
                      </c:pt>
                      <c:pt idx="4">
                        <c:v>3-</c:v>
                      </c:pt>
                      <c:pt idx="5">
                        <c:v>3</c:v>
                      </c:pt>
                      <c:pt idx="6">
                        <c:v>3+</c:v>
                      </c:pt>
                      <c:pt idx="7">
                        <c:v>3.5-</c:v>
                      </c:pt>
                      <c:pt idx="8">
                        <c:v>3.5</c:v>
                      </c:pt>
                      <c:pt idx="9">
                        <c:v>3.5+</c:v>
                      </c:pt>
                      <c:pt idx="10">
                        <c:v>4-</c:v>
                      </c:pt>
                      <c:pt idx="11">
                        <c:v>4</c:v>
                      </c:pt>
                      <c:pt idx="12">
                        <c:v>4+</c:v>
                      </c:pt>
                      <c:pt idx="13">
                        <c:v>4.5-</c:v>
                      </c:pt>
                      <c:pt idx="14">
                        <c:v>4.5</c:v>
                      </c:pt>
                      <c:pt idx="15">
                        <c:v>4.5+</c:v>
                      </c:pt>
                      <c:pt idx="16">
                        <c:v>5-</c:v>
                      </c:pt>
                      <c:pt idx="17">
                        <c:v>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Sheet4!$B$7:$S$7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1.5</c:v>
                      </c:pt>
                      <c:pt idx="2">
                        <c:v>2</c:v>
                      </c:pt>
                      <c:pt idx="3">
                        <c:v>2.5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3.5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4.5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893999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578222"/>
        <c:crosses val="autoZero"/>
        <c:auto val="1"/>
        <c:lblAlgn val="ctr"/>
        <c:lblOffset val="100"/>
        <c:noMultiLvlLbl val="0"/>
      </c:catAx>
      <c:valAx>
        <c:axId val="2345782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3999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Sheet4!$F$12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Sheet4!$G$11:$J$11</c:f>
              <c:strCache>
                <c:ptCount val="4"/>
                <c:pt idx="0">
                  <c:v>《3</c:v>
                </c:pt>
                <c:pt idx="1">
                  <c:v>3.5</c:v>
                </c:pt>
                <c:pt idx="2">
                  <c:v>4</c:v>
                </c:pt>
                <c:pt idx="3">
                  <c:v>》4.5</c:v>
                </c:pt>
              </c:strCache>
            </c:strRef>
          </c:cat>
          <c:val>
            <c:numRef>
              <c:f>Sheet4!$G$12:$J$12</c:f>
              <c:numCache>
                <c:formatCode>General</c:formatCode>
                <c:ptCount val="4"/>
                <c:pt idx="0">
                  <c:v>52</c:v>
                </c:pt>
                <c:pt idx="1">
                  <c:v>55</c:v>
                </c:pt>
                <c:pt idx="2">
                  <c:v>174</c:v>
                </c:pt>
                <c:pt idx="3">
                  <c:v>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61500000"/>
        <c:axId val="575001984"/>
      </c:barChart>
      <c:catAx>
        <c:axId val="56150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001984"/>
        <c:crosses val="autoZero"/>
        <c:auto val="1"/>
        <c:lblAlgn val="ctr"/>
        <c:lblOffset val="100"/>
        <c:noMultiLvlLbl val="0"/>
      </c:catAx>
      <c:valAx>
        <c:axId val="57500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50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7103502558048"/>
          <c:y val="0.89000702082845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80000"/>
            </a:schemeClr>
          </a:gs>
          <a:gs pos="100000">
            <a:schemeClr val="phClr">
              <a:alpha val="80000"/>
            </a:schemeClr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80000"/>
            </a:schemeClr>
          </a:gs>
          <a:gs pos="100000">
            <a:schemeClr val="phClr">
              <a:alpha val="80000"/>
            </a:schemeClr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216535</xdr:colOff>
      <xdr:row>10</xdr:row>
      <xdr:rowOff>189865</xdr:rowOff>
    </xdr:from>
    <xdr:to>
      <xdr:col>24</xdr:col>
      <xdr:colOff>219075</xdr:colOff>
      <xdr:row>25</xdr:row>
      <xdr:rowOff>159385</xdr:rowOff>
    </xdr:to>
    <xdr:graphicFrame>
      <xdr:nvGraphicFramePr>
        <xdr:cNvPr id="3" name="图表 2" descr="7b0a202020202263686172745265734964223a20223230343736363434220a7d0a"/>
        <xdr:cNvGraphicFramePr/>
      </xdr:nvGraphicFramePr>
      <xdr:xfrm>
        <a:off x="9512935" y="2323465"/>
        <a:ext cx="5488940" cy="31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292100</xdr:colOff>
      <xdr:row>13</xdr:row>
      <xdr:rowOff>155575</xdr:rowOff>
    </xdr:from>
    <xdr:to>
      <xdr:col>13</xdr:col>
      <xdr:colOff>299720</xdr:colOff>
      <xdr:row>28</xdr:row>
      <xdr:rowOff>55245</xdr:rowOff>
    </xdr:to>
    <xdr:graphicFrame>
      <xdr:nvGraphicFramePr>
        <xdr:cNvPr id="10" name="图表 9"/>
        <xdr:cNvGraphicFramePr/>
      </xdr:nvGraphicFramePr>
      <xdr:xfrm>
        <a:off x="4711700" y="2929255"/>
        <a:ext cx="3665220" cy="3100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342900</xdr:colOff>
      <xdr:row>341</xdr:row>
      <xdr:rowOff>114300</xdr:rowOff>
    </xdr:from>
    <xdr:to>
      <xdr:col>16</xdr:col>
      <xdr:colOff>292100</xdr:colOff>
      <xdr:row>355</xdr:row>
      <xdr:rowOff>12700</xdr:rowOff>
    </xdr:to>
    <xdr:graphicFrame>
      <xdr:nvGraphicFramePr>
        <xdr:cNvPr id="2" name="图表 1"/>
        <xdr:cNvGraphicFramePr/>
      </xdr:nvGraphicFramePr>
      <xdr:xfrm>
        <a:off x="7307580" y="72870060"/>
        <a:ext cx="64516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584200</xdr:colOff>
      <xdr:row>15</xdr:row>
      <xdr:rowOff>19050</xdr:rowOff>
    </xdr:from>
    <xdr:to>
      <xdr:col>17</xdr:col>
      <xdr:colOff>165100</xdr:colOff>
      <xdr:row>29</xdr:row>
      <xdr:rowOff>88900</xdr:rowOff>
    </xdr:to>
    <xdr:graphicFrame>
      <xdr:nvGraphicFramePr>
        <xdr:cNvPr id="4" name="图表 3"/>
        <xdr:cNvGraphicFramePr/>
      </xdr:nvGraphicFramePr>
      <xdr:xfrm>
        <a:off x="9174480" y="3219450"/>
        <a:ext cx="5270500" cy="3056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239395</xdr:colOff>
      <xdr:row>15</xdr:row>
      <xdr:rowOff>18415</xdr:rowOff>
    </xdr:from>
    <xdr:to>
      <xdr:col>10</xdr:col>
      <xdr:colOff>274955</xdr:colOff>
      <xdr:row>28</xdr:row>
      <xdr:rowOff>161290</xdr:rowOff>
    </xdr:to>
    <xdr:graphicFrame>
      <xdr:nvGraphicFramePr>
        <xdr:cNvPr id="7" name="图表 6"/>
        <xdr:cNvGraphicFramePr/>
      </xdr:nvGraphicFramePr>
      <xdr:xfrm>
        <a:off x="3912235" y="3218815"/>
        <a:ext cx="4953000" cy="2916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69.9553819444" refreshedBy="stt" recordCount="369">
  <cacheSource type="worksheet">
    <worksheetSource ref="J1:J1048576" sheet="意式"/>
  </cacheSource>
  <cacheFields count="1">
    <cacheField name="最新评分" numFmtId="0">
      <sharedItems containsBlank="1" containsNumber="1" containsMixedTypes="1" count="19">
        <s v="4-"/>
        <n v="3.5"/>
        <n v="4"/>
        <n v="5"/>
        <n v="1"/>
        <n v="2.5"/>
        <n v="4.5"/>
        <s v="3+"/>
        <s v="4+"/>
        <s v="3-"/>
        <n v="3"/>
        <n v="2"/>
        <n v="1.5"/>
        <m/>
        <s v="4.5-"/>
        <s v="3.5+"/>
        <s v="5-"/>
        <s v="3.5-"/>
        <s v="4.5+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9">
  <r>
    <x v="0"/>
  </r>
  <r>
    <x v="1"/>
  </r>
  <r>
    <x v="2"/>
  </r>
  <r>
    <x v="2"/>
  </r>
  <r>
    <x v="3"/>
  </r>
  <r>
    <x v="0"/>
  </r>
  <r>
    <x v="2"/>
  </r>
  <r>
    <x v="1"/>
  </r>
  <r>
    <x v="4"/>
  </r>
  <r>
    <x v="2"/>
  </r>
  <r>
    <x v="5"/>
  </r>
  <r>
    <x v="2"/>
  </r>
  <r>
    <x v="2"/>
  </r>
  <r>
    <x v="2"/>
  </r>
  <r>
    <x v="2"/>
  </r>
  <r>
    <x v="6"/>
  </r>
  <r>
    <x v="1"/>
  </r>
  <r>
    <x v="2"/>
  </r>
  <r>
    <x v="7"/>
  </r>
  <r>
    <x v="3"/>
  </r>
  <r>
    <x v="2"/>
  </r>
  <r>
    <x v="2"/>
  </r>
  <r>
    <x v="8"/>
  </r>
  <r>
    <x v="9"/>
  </r>
  <r>
    <x v="3"/>
  </r>
  <r>
    <x v="10"/>
  </r>
  <r>
    <x v="2"/>
  </r>
  <r>
    <x v="3"/>
  </r>
  <r>
    <x v="10"/>
  </r>
  <r>
    <x v="2"/>
  </r>
  <r>
    <x v="10"/>
  </r>
  <r>
    <x v="8"/>
  </r>
  <r>
    <x v="1"/>
  </r>
  <r>
    <x v="11"/>
  </r>
  <r>
    <x v="10"/>
  </r>
  <r>
    <x v="2"/>
  </r>
  <r>
    <x v="8"/>
  </r>
  <r>
    <x v="11"/>
  </r>
  <r>
    <x v="0"/>
  </r>
  <r>
    <x v="7"/>
  </r>
  <r>
    <x v="10"/>
  </r>
  <r>
    <x v="1"/>
  </r>
  <r>
    <x v="10"/>
  </r>
  <r>
    <x v="0"/>
  </r>
  <r>
    <x v="5"/>
  </r>
  <r>
    <x v="0"/>
  </r>
  <r>
    <x v="8"/>
  </r>
  <r>
    <x v="0"/>
  </r>
  <r>
    <x v="1"/>
  </r>
  <r>
    <x v="3"/>
  </r>
  <r>
    <x v="5"/>
  </r>
  <r>
    <x v="1"/>
  </r>
  <r>
    <x v="0"/>
  </r>
  <r>
    <x v="12"/>
  </r>
  <r>
    <x v="2"/>
  </r>
  <r>
    <x v="2"/>
  </r>
  <r>
    <x v="8"/>
  </r>
  <r>
    <x v="2"/>
  </r>
  <r>
    <x v="4"/>
  </r>
  <r>
    <x v="5"/>
  </r>
  <r>
    <x v="2"/>
  </r>
  <r>
    <x v="2"/>
  </r>
  <r>
    <x v="5"/>
  </r>
  <r>
    <x v="13"/>
  </r>
  <r>
    <x v="2"/>
  </r>
  <r>
    <x v="6"/>
  </r>
  <r>
    <x v="8"/>
  </r>
  <r>
    <x v="11"/>
  </r>
  <r>
    <x v="1"/>
  </r>
  <r>
    <x v="2"/>
  </r>
  <r>
    <x v="6"/>
  </r>
  <r>
    <x v="0"/>
  </r>
  <r>
    <x v="5"/>
  </r>
  <r>
    <x v="10"/>
  </r>
  <r>
    <x v="8"/>
  </r>
  <r>
    <x v="8"/>
  </r>
  <r>
    <x v="2"/>
  </r>
  <r>
    <x v="6"/>
  </r>
  <r>
    <x v="0"/>
  </r>
  <r>
    <x v="1"/>
  </r>
  <r>
    <x v="5"/>
  </r>
  <r>
    <x v="7"/>
  </r>
  <r>
    <x v="2"/>
  </r>
  <r>
    <x v="11"/>
  </r>
  <r>
    <x v="2"/>
  </r>
  <r>
    <x v="11"/>
  </r>
  <r>
    <x v="2"/>
  </r>
  <r>
    <x v="8"/>
  </r>
  <r>
    <x v="14"/>
  </r>
  <r>
    <x v="8"/>
  </r>
  <r>
    <x v="1"/>
  </r>
  <r>
    <x v="2"/>
  </r>
  <r>
    <x v="1"/>
  </r>
  <r>
    <x v="3"/>
  </r>
  <r>
    <x v="12"/>
  </r>
  <r>
    <x v="10"/>
  </r>
  <r>
    <x v="2"/>
  </r>
  <r>
    <x v="2"/>
  </r>
  <r>
    <x v="15"/>
  </r>
  <r>
    <x v="8"/>
  </r>
  <r>
    <x v="0"/>
  </r>
  <r>
    <x v="2"/>
  </r>
  <r>
    <x v="4"/>
  </r>
  <r>
    <x v="2"/>
  </r>
  <r>
    <x v="2"/>
  </r>
  <r>
    <x v="2"/>
  </r>
  <r>
    <x v="8"/>
  </r>
  <r>
    <x v="1"/>
  </r>
  <r>
    <x v="14"/>
  </r>
  <r>
    <x v="8"/>
  </r>
  <r>
    <x v="6"/>
  </r>
  <r>
    <x v="1"/>
  </r>
  <r>
    <x v="1"/>
  </r>
  <r>
    <x v="8"/>
  </r>
  <r>
    <x v="2"/>
  </r>
  <r>
    <x v="2"/>
  </r>
  <r>
    <x v="5"/>
  </r>
  <r>
    <x v="6"/>
  </r>
  <r>
    <x v="16"/>
  </r>
  <r>
    <x v="8"/>
  </r>
  <r>
    <x v="8"/>
  </r>
  <r>
    <x v="6"/>
  </r>
  <r>
    <x v="1"/>
  </r>
  <r>
    <x v="10"/>
  </r>
  <r>
    <x v="3"/>
  </r>
  <r>
    <x v="8"/>
  </r>
  <r>
    <x v="8"/>
  </r>
  <r>
    <x v="2"/>
  </r>
  <r>
    <x v="6"/>
  </r>
  <r>
    <x v="2"/>
  </r>
  <r>
    <x v="3"/>
  </r>
  <r>
    <x v="9"/>
  </r>
  <r>
    <x v="8"/>
  </r>
  <r>
    <x v="5"/>
  </r>
  <r>
    <x v="1"/>
  </r>
  <r>
    <x v="2"/>
  </r>
  <r>
    <x v="2"/>
  </r>
  <r>
    <x v="8"/>
  </r>
  <r>
    <x v="10"/>
  </r>
  <r>
    <x v="0"/>
  </r>
  <r>
    <x v="2"/>
  </r>
  <r>
    <x v="1"/>
  </r>
  <r>
    <x v="6"/>
  </r>
  <r>
    <x v="2"/>
  </r>
  <r>
    <x v="10"/>
  </r>
  <r>
    <x v="1"/>
  </r>
  <r>
    <x v="8"/>
  </r>
  <r>
    <x v="2"/>
  </r>
  <r>
    <x v="3"/>
  </r>
  <r>
    <x v="2"/>
  </r>
  <r>
    <x v="10"/>
  </r>
  <r>
    <x v="9"/>
  </r>
  <r>
    <x v="5"/>
  </r>
  <r>
    <x v="10"/>
  </r>
  <r>
    <x v="8"/>
  </r>
  <r>
    <x v="10"/>
  </r>
  <r>
    <x v="8"/>
  </r>
  <r>
    <x v="2"/>
  </r>
  <r>
    <x v="8"/>
  </r>
  <r>
    <x v="17"/>
  </r>
  <r>
    <x v="8"/>
  </r>
  <r>
    <x v="1"/>
  </r>
  <r>
    <x v="6"/>
  </r>
  <r>
    <x v="2"/>
  </r>
  <r>
    <x v="6"/>
  </r>
  <r>
    <x v="0"/>
  </r>
  <r>
    <x v="6"/>
  </r>
  <r>
    <x v="1"/>
  </r>
  <r>
    <x v="10"/>
  </r>
  <r>
    <x v="1"/>
  </r>
  <r>
    <x v="1"/>
  </r>
  <r>
    <x v="2"/>
  </r>
  <r>
    <x v="14"/>
  </r>
  <r>
    <x v="14"/>
  </r>
  <r>
    <x v="10"/>
  </r>
  <r>
    <x v="16"/>
  </r>
  <r>
    <x v="11"/>
  </r>
  <r>
    <x v="2"/>
  </r>
  <r>
    <x v="6"/>
  </r>
  <r>
    <x v="8"/>
  </r>
  <r>
    <x v="2"/>
  </r>
  <r>
    <x v="14"/>
  </r>
  <r>
    <x v="0"/>
  </r>
  <r>
    <x v="6"/>
  </r>
  <r>
    <x v="1"/>
  </r>
  <r>
    <x v="8"/>
  </r>
  <r>
    <x v="16"/>
  </r>
  <r>
    <x v="2"/>
  </r>
  <r>
    <x v="6"/>
  </r>
  <r>
    <x v="5"/>
  </r>
  <r>
    <x v="2"/>
  </r>
  <r>
    <x v="0"/>
  </r>
  <r>
    <x v="2"/>
  </r>
  <r>
    <x v="1"/>
  </r>
  <r>
    <x v="6"/>
  </r>
  <r>
    <x v="14"/>
  </r>
  <r>
    <x v="2"/>
  </r>
  <r>
    <x v="0"/>
  </r>
  <r>
    <x v="6"/>
  </r>
  <r>
    <x v="6"/>
  </r>
  <r>
    <x v="0"/>
  </r>
  <r>
    <x v="2"/>
  </r>
  <r>
    <x v="8"/>
  </r>
  <r>
    <x v="1"/>
  </r>
  <r>
    <x v="8"/>
  </r>
  <r>
    <x v="6"/>
  </r>
  <r>
    <x v="6"/>
  </r>
  <r>
    <x v="2"/>
  </r>
  <r>
    <x v="6"/>
  </r>
  <r>
    <x v="0"/>
  </r>
  <r>
    <x v="0"/>
  </r>
  <r>
    <x v="1"/>
  </r>
  <r>
    <x v="2"/>
  </r>
  <r>
    <x v="8"/>
  </r>
  <r>
    <x v="2"/>
  </r>
  <r>
    <x v="6"/>
  </r>
  <r>
    <x v="1"/>
  </r>
  <r>
    <x v="1"/>
  </r>
  <r>
    <x v="14"/>
  </r>
  <r>
    <x v="8"/>
  </r>
  <r>
    <x v="6"/>
  </r>
  <r>
    <x v="2"/>
  </r>
  <r>
    <x v="6"/>
  </r>
  <r>
    <x v="8"/>
  </r>
  <r>
    <x v="2"/>
  </r>
  <r>
    <x v="6"/>
  </r>
  <r>
    <x v="2"/>
  </r>
  <r>
    <x v="0"/>
  </r>
  <r>
    <x v="1"/>
  </r>
  <r>
    <x v="6"/>
  </r>
  <r>
    <x v="2"/>
  </r>
  <r>
    <x v="8"/>
  </r>
  <r>
    <x v="7"/>
  </r>
  <r>
    <x v="1"/>
  </r>
  <r>
    <x v="0"/>
  </r>
  <r>
    <x v="18"/>
  </r>
  <r>
    <x v="1"/>
  </r>
  <r>
    <x v="15"/>
  </r>
  <r>
    <x v="2"/>
  </r>
  <r>
    <x v="14"/>
  </r>
  <r>
    <x v="8"/>
  </r>
  <r>
    <x v="8"/>
  </r>
  <r>
    <x v="14"/>
  </r>
  <r>
    <x v="1"/>
  </r>
  <r>
    <x v="1"/>
  </r>
  <r>
    <x v="14"/>
  </r>
  <r>
    <x v="3"/>
  </r>
  <r>
    <x v="2"/>
  </r>
  <r>
    <x v="1"/>
  </r>
  <r>
    <x v="10"/>
  </r>
  <r>
    <x v="16"/>
  </r>
  <r>
    <x v="8"/>
  </r>
  <r>
    <x v="8"/>
  </r>
  <r>
    <x v="1"/>
  </r>
  <r>
    <x v="1"/>
  </r>
  <r>
    <x v="8"/>
  </r>
  <r>
    <x v="15"/>
  </r>
  <r>
    <x v="8"/>
  </r>
  <r>
    <x v="8"/>
  </r>
  <r>
    <x v="17"/>
  </r>
  <r>
    <x v="8"/>
  </r>
  <r>
    <x v="6"/>
  </r>
  <r>
    <x v="5"/>
  </r>
  <r>
    <x v="2"/>
  </r>
  <r>
    <x v="1"/>
  </r>
  <r>
    <x v="6"/>
  </r>
  <r>
    <x v="2"/>
  </r>
  <r>
    <x v="8"/>
  </r>
  <r>
    <x v="8"/>
  </r>
  <r>
    <x v="8"/>
  </r>
  <r>
    <x v="0"/>
  </r>
  <r>
    <x v="0"/>
  </r>
  <r>
    <x v="8"/>
  </r>
  <r>
    <x v="1"/>
  </r>
  <r>
    <x v="18"/>
  </r>
  <r>
    <x v="10"/>
  </r>
  <r>
    <x v="2"/>
  </r>
  <r>
    <x v="9"/>
  </r>
  <r>
    <x v="5"/>
  </r>
  <r>
    <x v="1"/>
  </r>
  <r>
    <x v="0"/>
  </r>
  <r>
    <x v="16"/>
  </r>
  <r>
    <x v="3"/>
  </r>
  <r>
    <x v="8"/>
  </r>
  <r>
    <x v="8"/>
  </r>
  <r>
    <x v="17"/>
  </r>
  <r>
    <x v="8"/>
  </r>
  <r>
    <x v="18"/>
  </r>
  <r>
    <x v="8"/>
  </r>
  <r>
    <x v="8"/>
  </r>
  <r>
    <x v="0"/>
  </r>
  <r>
    <x v="2"/>
  </r>
  <r>
    <x v="6"/>
  </r>
  <r>
    <x v="8"/>
  </r>
  <r>
    <x v="15"/>
  </r>
  <r>
    <x v="2"/>
  </r>
  <r>
    <x v="2"/>
  </r>
  <r>
    <x v="2"/>
  </r>
  <r>
    <x v="8"/>
  </r>
  <r>
    <x v="6"/>
  </r>
  <r>
    <x v="8"/>
  </r>
  <r>
    <x v="6"/>
  </r>
  <r>
    <x v="6"/>
  </r>
  <r>
    <x v="2"/>
  </r>
  <r>
    <x v="6"/>
  </r>
  <r>
    <x v="2"/>
  </r>
  <r>
    <x v="8"/>
  </r>
  <r>
    <x v="6"/>
  </r>
  <r>
    <x v="9"/>
  </r>
  <r>
    <x v="6"/>
  </r>
  <r>
    <x v="8"/>
  </r>
  <r>
    <x v="15"/>
  </r>
  <r>
    <x v="2"/>
  </r>
  <r>
    <x v="14"/>
  </r>
  <r>
    <x v="2"/>
  </r>
  <r>
    <x v="17"/>
  </r>
  <r>
    <x v="18"/>
  </r>
  <r>
    <x v="0"/>
  </r>
  <r>
    <x v="16"/>
  </r>
  <r>
    <x v="6"/>
  </r>
  <r>
    <x v="8"/>
  </r>
  <r>
    <x v="17"/>
  </r>
  <r>
    <x v="5"/>
  </r>
  <r>
    <x v="2"/>
  </r>
  <r>
    <x v="1"/>
  </r>
  <r>
    <x v="8"/>
  </r>
  <r>
    <x v="16"/>
  </r>
  <r>
    <x v="14"/>
  </r>
  <r>
    <x v="1"/>
  </r>
  <r>
    <x v="18"/>
  </r>
  <r>
    <x v="8"/>
  </r>
  <r>
    <x v="15"/>
  </r>
  <r>
    <x v="8"/>
  </r>
  <r>
    <x v="4"/>
  </r>
  <r>
    <x v="14"/>
  </r>
  <r>
    <x v="10"/>
  </r>
  <r>
    <x v="0"/>
  </r>
  <r>
    <x v="4"/>
  </r>
  <r>
    <x v="6"/>
  </r>
  <r>
    <x v="8"/>
  </r>
  <r>
    <x v="15"/>
  </r>
  <r>
    <x v="11"/>
  </r>
  <r>
    <x v="8"/>
  </r>
  <r>
    <x v="6"/>
  </r>
  <r>
    <x v="16"/>
  </r>
  <r>
    <x v="8"/>
  </r>
  <r>
    <x v="14"/>
  </r>
  <r>
    <x v="2"/>
  </r>
  <r>
    <x v="2"/>
  </r>
  <r>
    <x v="2"/>
  </r>
  <r>
    <x v="6"/>
  </r>
  <r>
    <x v="2"/>
  </r>
  <r>
    <x v="14"/>
  </r>
  <r>
    <x v="0"/>
  </r>
  <r>
    <x v="8"/>
  </r>
  <r>
    <x v="8"/>
  </r>
  <r>
    <x v="8"/>
  </r>
  <r>
    <x v="8"/>
  </r>
  <r>
    <x v="1"/>
  </r>
  <r>
    <x v="6"/>
  </r>
  <r>
    <x v="2"/>
  </r>
  <r>
    <x v="8"/>
  </r>
  <r>
    <x v="16"/>
  </r>
  <r>
    <x v="0"/>
  </r>
  <r>
    <x v="1"/>
  </r>
  <r>
    <x v="14"/>
  </r>
  <r>
    <x v="6"/>
  </r>
  <r>
    <x v="2"/>
  </r>
  <r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:U3" firstHeaderRow="1" firstDataRow="2" firstDataCol="1"/>
  <pivotFields count="1">
    <pivotField axis="axisCol" dataField="1" compact="0" showAll="0">
      <items count="20">
        <item x="4"/>
        <item x="12"/>
        <item x="11"/>
        <item x="5"/>
        <item x="10"/>
        <item x="1"/>
        <item x="2"/>
        <item x="6"/>
        <item x="3"/>
        <item x="9"/>
        <item x="17"/>
        <item x="15"/>
        <item x="7"/>
        <item x="0"/>
        <item x="14"/>
        <item x="18"/>
        <item x="8"/>
        <item x="16"/>
        <item x="13"/>
        <item t="default"/>
      </items>
    </pivotField>
  </pivotFields>
  <rowItems count="1">
    <i/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计数项:最新评分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9"/>
  <sheetViews>
    <sheetView tabSelected="1" workbookViewId="0">
      <pane ySplit="1" topLeftCell="A14" activePane="bottomLeft" state="frozen"/>
      <selection/>
      <selection pane="bottomLeft" activeCell="J61" sqref="J61"/>
    </sheetView>
  </sheetViews>
  <sheetFormatPr defaultColWidth="9.23076923076923" defaultRowHeight="16.8"/>
  <cols>
    <col min="1" max="1" width="9.23076923076923" style="8"/>
    <col min="2" max="2" width="12.5" customWidth="1"/>
    <col min="3" max="3" width="13.5480769230769" customWidth="1"/>
    <col min="4" max="4" width="20.25" customWidth="1"/>
    <col min="5" max="5" width="28.5769230769231" customWidth="1"/>
    <col min="6" max="6" width="14.5" style="8" customWidth="1"/>
    <col min="7" max="7" width="13.3269230769231" style="6" customWidth="1"/>
    <col min="8" max="8" width="28.5" customWidth="1"/>
    <col min="9" max="9" width="29.4807692307692" customWidth="1"/>
    <col min="10" max="10" width="10.3076923076923" style="7" customWidth="1"/>
    <col min="11" max="11" width="22.6923076923077" customWidth="1"/>
    <col min="12" max="13" width="12.0769230769231" style="12" customWidth="1"/>
    <col min="14" max="14" width="10.3076923076923" customWidth="1"/>
  </cols>
  <sheetData>
    <row r="1" spans="1:14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5</v>
      </c>
      <c r="G1" s="6" t="s">
        <v>6</v>
      </c>
      <c r="H1" t="s">
        <v>7</v>
      </c>
      <c r="I1" t="s">
        <v>8</v>
      </c>
      <c r="J1" s="7" t="s">
        <v>9</v>
      </c>
      <c r="K1" t="s">
        <v>10</v>
      </c>
      <c r="L1" s="12" t="s">
        <v>11</v>
      </c>
      <c r="M1" s="12" t="s">
        <v>12</v>
      </c>
      <c r="N1" s="12" t="s">
        <v>12</v>
      </c>
    </row>
    <row r="2" spans="1:13">
      <c r="A2" s="8">
        <v>1</v>
      </c>
      <c r="B2" t="s">
        <v>13</v>
      </c>
      <c r="C2" t="s">
        <v>14</v>
      </c>
      <c r="D2" t="s">
        <v>15</v>
      </c>
      <c r="E2" t="s">
        <v>16</v>
      </c>
      <c r="F2" s="12" t="s">
        <v>17</v>
      </c>
      <c r="G2" s="6">
        <f>128/4.5</f>
        <v>28.4444444444444</v>
      </c>
      <c r="H2" t="s">
        <v>18</v>
      </c>
      <c r="I2" t="s">
        <v>19</v>
      </c>
      <c r="J2" s="7" t="s">
        <v>20</v>
      </c>
      <c r="L2" s="15">
        <v>45052</v>
      </c>
      <c r="M2" s="15">
        <v>45595</v>
      </c>
    </row>
    <row r="3" spans="1:12">
      <c r="A3" s="8">
        <v>2</v>
      </c>
      <c r="B3" t="s">
        <v>13</v>
      </c>
      <c r="C3" t="s">
        <v>21</v>
      </c>
      <c r="D3" t="s">
        <v>22</v>
      </c>
      <c r="E3" t="s">
        <v>23</v>
      </c>
      <c r="F3" s="12" t="s">
        <v>17</v>
      </c>
      <c r="G3" s="6">
        <f>128/4.5</f>
        <v>28.4444444444444</v>
      </c>
      <c r="H3" t="s">
        <v>24</v>
      </c>
      <c r="I3" t="s">
        <v>19</v>
      </c>
      <c r="J3" s="7">
        <v>3.5</v>
      </c>
      <c r="L3" s="15">
        <v>45052</v>
      </c>
    </row>
    <row r="4" spans="1:12">
      <c r="A4" s="8">
        <v>3</v>
      </c>
      <c r="B4" t="s">
        <v>25</v>
      </c>
      <c r="C4" t="s">
        <v>14</v>
      </c>
      <c r="D4" t="s">
        <v>26</v>
      </c>
      <c r="E4" t="s">
        <v>27</v>
      </c>
      <c r="F4" s="8" t="s">
        <v>28</v>
      </c>
      <c r="G4" s="6">
        <v>27</v>
      </c>
      <c r="H4" t="s">
        <v>29</v>
      </c>
      <c r="I4" t="s">
        <v>30</v>
      </c>
      <c r="J4" s="7">
        <v>4</v>
      </c>
      <c r="L4" s="15">
        <v>45087</v>
      </c>
    </row>
    <row r="5" spans="1:12">
      <c r="A5" s="8">
        <v>4</v>
      </c>
      <c r="B5" t="s">
        <v>31</v>
      </c>
      <c r="C5" t="s">
        <v>21</v>
      </c>
      <c r="D5" t="s">
        <v>32</v>
      </c>
      <c r="E5" t="s">
        <v>33</v>
      </c>
      <c r="F5" s="8" t="s">
        <v>34</v>
      </c>
      <c r="G5" s="13">
        <v>16.5</v>
      </c>
      <c r="H5" t="s">
        <v>35</v>
      </c>
      <c r="I5" t="s">
        <v>36</v>
      </c>
      <c r="J5" s="7">
        <v>4</v>
      </c>
      <c r="L5" s="15">
        <v>45125</v>
      </c>
    </row>
    <row r="6" spans="1:12">
      <c r="A6" s="8">
        <v>5</v>
      </c>
      <c r="B6" t="s">
        <v>37</v>
      </c>
      <c r="C6" t="s">
        <v>21</v>
      </c>
      <c r="D6" t="s">
        <v>38</v>
      </c>
      <c r="E6" t="s">
        <v>39</v>
      </c>
      <c r="F6" s="8" t="s">
        <v>40</v>
      </c>
      <c r="G6" s="6">
        <v>29</v>
      </c>
      <c r="H6" t="s">
        <v>41</v>
      </c>
      <c r="I6" t="s">
        <v>42</v>
      </c>
      <c r="J6" s="16">
        <v>5</v>
      </c>
      <c r="L6" s="15">
        <v>45089</v>
      </c>
    </row>
    <row r="7" spans="1:12">
      <c r="A7" s="8">
        <v>6</v>
      </c>
      <c r="B7" t="s">
        <v>37</v>
      </c>
      <c r="C7" t="s">
        <v>21</v>
      </c>
      <c r="D7" t="s">
        <v>43</v>
      </c>
      <c r="E7" t="s">
        <v>44</v>
      </c>
      <c r="F7" s="8" t="s">
        <v>45</v>
      </c>
      <c r="G7" s="6">
        <v>33</v>
      </c>
      <c r="H7" t="s">
        <v>35</v>
      </c>
      <c r="I7" t="s">
        <v>46</v>
      </c>
      <c r="J7" s="7" t="s">
        <v>20</v>
      </c>
      <c r="L7" s="15">
        <v>45093</v>
      </c>
    </row>
    <row r="8" spans="1:12">
      <c r="A8" s="8">
        <v>7</v>
      </c>
      <c r="B8" t="s">
        <v>47</v>
      </c>
      <c r="C8" t="s">
        <v>21</v>
      </c>
      <c r="D8" t="s">
        <v>48</v>
      </c>
      <c r="E8" t="s">
        <v>49</v>
      </c>
      <c r="F8" s="8" t="s">
        <v>50</v>
      </c>
      <c r="G8" s="6">
        <v>34</v>
      </c>
      <c r="H8" t="s">
        <v>51</v>
      </c>
      <c r="I8" t="s">
        <v>30</v>
      </c>
      <c r="J8" s="7">
        <v>4</v>
      </c>
      <c r="L8" s="15">
        <v>45115</v>
      </c>
    </row>
    <row r="9" spans="1:12">
      <c r="A9" s="8">
        <v>8</v>
      </c>
      <c r="B9" t="s">
        <v>52</v>
      </c>
      <c r="C9" t="s">
        <v>14</v>
      </c>
      <c r="D9" t="s">
        <v>53</v>
      </c>
      <c r="E9" t="s">
        <v>54</v>
      </c>
      <c r="F9" s="8" t="s">
        <v>55</v>
      </c>
      <c r="G9" s="6">
        <v>24</v>
      </c>
      <c r="H9" t="s">
        <v>56</v>
      </c>
      <c r="I9" t="s">
        <v>57</v>
      </c>
      <c r="J9" s="7">
        <v>3.5</v>
      </c>
      <c r="L9" s="15">
        <v>45123</v>
      </c>
    </row>
    <row r="10" spans="1:12">
      <c r="A10" s="8">
        <v>9</v>
      </c>
      <c r="B10" t="s">
        <v>58</v>
      </c>
      <c r="C10" t="s">
        <v>21</v>
      </c>
      <c r="D10" t="s">
        <v>59</v>
      </c>
      <c r="E10" t="s">
        <v>60</v>
      </c>
      <c r="F10" s="8" t="s">
        <v>61</v>
      </c>
      <c r="G10" s="6">
        <v>34.3</v>
      </c>
      <c r="H10" t="s">
        <v>62</v>
      </c>
      <c r="I10" t="s">
        <v>63</v>
      </c>
      <c r="J10" s="17">
        <v>1</v>
      </c>
      <c r="L10" s="15">
        <v>45136</v>
      </c>
    </row>
    <row r="11" spans="1:12">
      <c r="A11" s="8">
        <v>10</v>
      </c>
      <c r="B11" t="s">
        <v>64</v>
      </c>
      <c r="C11" t="s">
        <v>14</v>
      </c>
      <c r="D11" t="s">
        <v>65</v>
      </c>
      <c r="E11" t="s">
        <v>66</v>
      </c>
      <c r="F11" s="8" t="s">
        <v>67</v>
      </c>
      <c r="G11" s="6">
        <v>32</v>
      </c>
      <c r="H11" t="s">
        <v>68</v>
      </c>
      <c r="I11" t="s">
        <v>69</v>
      </c>
      <c r="J11" s="7">
        <v>4</v>
      </c>
      <c r="L11" s="15">
        <v>45149</v>
      </c>
    </row>
    <row r="12" spans="1:12">
      <c r="A12" s="8">
        <v>11</v>
      </c>
      <c r="B12" t="s">
        <v>70</v>
      </c>
      <c r="C12" t="s">
        <v>21</v>
      </c>
      <c r="D12" t="s">
        <v>71</v>
      </c>
      <c r="E12" t="s">
        <v>72</v>
      </c>
      <c r="F12" s="8" t="s">
        <v>73</v>
      </c>
      <c r="G12" s="13">
        <v>19.5</v>
      </c>
      <c r="H12" t="s">
        <v>74</v>
      </c>
      <c r="I12" t="s">
        <v>75</v>
      </c>
      <c r="J12" s="17">
        <v>2.5</v>
      </c>
      <c r="L12" s="15">
        <v>45136</v>
      </c>
    </row>
    <row r="13" spans="1:12">
      <c r="A13" s="8">
        <v>12</v>
      </c>
      <c r="B13" t="s">
        <v>31</v>
      </c>
      <c r="C13" t="s">
        <v>21</v>
      </c>
      <c r="D13" t="s">
        <v>76</v>
      </c>
      <c r="E13" t="s">
        <v>77</v>
      </c>
      <c r="F13" s="8" t="s">
        <v>34</v>
      </c>
      <c r="G13" s="13">
        <v>16.5</v>
      </c>
      <c r="H13" t="s">
        <v>78</v>
      </c>
      <c r="I13" t="s">
        <v>79</v>
      </c>
      <c r="J13" s="7">
        <v>4</v>
      </c>
      <c r="L13" s="15">
        <v>45141</v>
      </c>
    </row>
    <row r="14" spans="1:12">
      <c r="A14" s="8">
        <v>13</v>
      </c>
      <c r="B14" t="s">
        <v>80</v>
      </c>
      <c r="C14" t="s">
        <v>21</v>
      </c>
      <c r="D14" t="s">
        <v>81</v>
      </c>
      <c r="E14" t="s">
        <v>82</v>
      </c>
      <c r="F14" s="8" t="s">
        <v>83</v>
      </c>
      <c r="G14" s="13">
        <v>18</v>
      </c>
      <c r="H14" t="s">
        <v>35</v>
      </c>
      <c r="I14" t="s">
        <v>84</v>
      </c>
      <c r="J14" s="7">
        <v>4</v>
      </c>
      <c r="L14" s="15">
        <v>45146</v>
      </c>
    </row>
    <row r="15" spans="1:14">
      <c r="A15" s="8">
        <v>14</v>
      </c>
      <c r="B15" t="s">
        <v>85</v>
      </c>
      <c r="C15" t="s">
        <v>21</v>
      </c>
      <c r="D15" t="s">
        <v>86</v>
      </c>
      <c r="E15" t="s">
        <v>87</v>
      </c>
      <c r="F15" s="8" t="s">
        <v>88</v>
      </c>
      <c r="G15" s="6">
        <v>30.4</v>
      </c>
      <c r="H15" t="s">
        <v>89</v>
      </c>
      <c r="I15" t="s">
        <v>90</v>
      </c>
      <c r="J15" s="7">
        <v>4</v>
      </c>
      <c r="L15" s="15">
        <v>45148</v>
      </c>
      <c r="M15" s="15">
        <v>45647</v>
      </c>
      <c r="N15" s="19">
        <v>45742</v>
      </c>
    </row>
    <row r="16" spans="1:12">
      <c r="A16" s="8">
        <v>15</v>
      </c>
      <c r="B16" t="s">
        <v>91</v>
      </c>
      <c r="C16" t="s">
        <v>21</v>
      </c>
      <c r="D16" t="s">
        <v>92</v>
      </c>
      <c r="E16" t="s">
        <v>93</v>
      </c>
      <c r="F16" s="8" t="s">
        <v>94</v>
      </c>
      <c r="G16" s="6">
        <v>30</v>
      </c>
      <c r="H16" t="s">
        <v>95</v>
      </c>
      <c r="I16" t="s">
        <v>96</v>
      </c>
      <c r="J16" s="7">
        <v>4</v>
      </c>
      <c r="L16" s="15">
        <v>45154</v>
      </c>
    </row>
    <row r="17" spans="1:14">
      <c r="A17" s="8">
        <v>16</v>
      </c>
      <c r="B17" t="s">
        <v>97</v>
      </c>
      <c r="C17" t="s">
        <v>14</v>
      </c>
      <c r="D17" t="s">
        <v>98</v>
      </c>
      <c r="E17" t="s">
        <v>99</v>
      </c>
      <c r="F17" s="8" t="s">
        <v>100</v>
      </c>
      <c r="G17" s="6">
        <v>32.5</v>
      </c>
      <c r="H17" t="s">
        <v>101</v>
      </c>
      <c r="I17" t="s">
        <v>102</v>
      </c>
      <c r="J17" s="16">
        <v>4.5</v>
      </c>
      <c r="L17" s="15">
        <v>45154</v>
      </c>
      <c r="M17" s="15">
        <v>45516</v>
      </c>
      <c r="N17" s="15">
        <v>45752</v>
      </c>
    </row>
    <row r="18" spans="1:12">
      <c r="A18" s="8">
        <v>17</v>
      </c>
      <c r="B18" t="s">
        <v>103</v>
      </c>
      <c r="C18" t="s">
        <v>14</v>
      </c>
      <c r="D18" t="s">
        <v>104</v>
      </c>
      <c r="E18" t="s">
        <v>105</v>
      </c>
      <c r="F18" s="8" t="s">
        <v>106</v>
      </c>
      <c r="G18" s="6">
        <v>25.6</v>
      </c>
      <c r="H18" t="s">
        <v>107</v>
      </c>
      <c r="I18" t="s">
        <v>108</v>
      </c>
      <c r="J18" s="7">
        <v>3.5</v>
      </c>
      <c r="L18" s="15">
        <v>45169</v>
      </c>
    </row>
    <row r="19" spans="1:12">
      <c r="A19" s="8">
        <v>18</v>
      </c>
      <c r="B19" t="s">
        <v>25</v>
      </c>
      <c r="C19" t="s">
        <v>21</v>
      </c>
      <c r="D19" t="s">
        <v>109</v>
      </c>
      <c r="E19" t="s">
        <v>110</v>
      </c>
      <c r="F19" s="8" t="s">
        <v>111</v>
      </c>
      <c r="G19" s="13">
        <v>17.2</v>
      </c>
      <c r="H19" t="s">
        <v>112</v>
      </c>
      <c r="I19" t="s">
        <v>113</v>
      </c>
      <c r="J19" s="7">
        <v>4</v>
      </c>
      <c r="L19" s="15">
        <v>45217</v>
      </c>
    </row>
    <row r="20" spans="1:12">
      <c r="A20" s="8">
        <v>19</v>
      </c>
      <c r="B20" t="s">
        <v>114</v>
      </c>
      <c r="C20" t="s">
        <v>115</v>
      </c>
      <c r="D20" t="s">
        <v>116</v>
      </c>
      <c r="E20" t="s">
        <v>117</v>
      </c>
      <c r="F20" s="8" t="s">
        <v>118</v>
      </c>
      <c r="G20" s="13">
        <v>18.7</v>
      </c>
      <c r="H20" t="s">
        <v>119</v>
      </c>
      <c r="I20" t="s">
        <v>120</v>
      </c>
      <c r="J20" s="18" t="s">
        <v>121</v>
      </c>
      <c r="L20" s="15">
        <v>45206</v>
      </c>
    </row>
    <row r="21" spans="1:12">
      <c r="A21" s="8">
        <v>20</v>
      </c>
      <c r="B21" t="s">
        <v>122</v>
      </c>
      <c r="C21" t="s">
        <v>21</v>
      </c>
      <c r="D21" t="s">
        <v>123</v>
      </c>
      <c r="E21" t="s">
        <v>124</v>
      </c>
      <c r="F21" s="8" t="s">
        <v>125</v>
      </c>
      <c r="G21" s="6">
        <v>32.6</v>
      </c>
      <c r="H21" t="s">
        <v>126</v>
      </c>
      <c r="I21" t="s">
        <v>127</v>
      </c>
      <c r="J21" s="16">
        <v>5</v>
      </c>
      <c r="L21" s="15">
        <v>45237</v>
      </c>
    </row>
    <row r="22" spans="1:12">
      <c r="A22" s="8">
        <v>21</v>
      </c>
      <c r="B22" t="s">
        <v>122</v>
      </c>
      <c r="C22" t="s">
        <v>21</v>
      </c>
      <c r="D22" t="s">
        <v>128</v>
      </c>
      <c r="E22" t="s">
        <v>129</v>
      </c>
      <c r="F22" s="8" t="s">
        <v>130</v>
      </c>
      <c r="G22" s="6">
        <v>45.3</v>
      </c>
      <c r="H22" t="s">
        <v>131</v>
      </c>
      <c r="I22" t="s">
        <v>132</v>
      </c>
      <c r="J22" s="7">
        <v>4</v>
      </c>
      <c r="L22" s="15">
        <v>45242</v>
      </c>
    </row>
    <row r="23" spans="1:12">
      <c r="A23" s="8">
        <v>22</v>
      </c>
      <c r="B23" t="s">
        <v>133</v>
      </c>
      <c r="C23" t="s">
        <v>21</v>
      </c>
      <c r="D23" t="s">
        <v>134</v>
      </c>
      <c r="E23" t="s">
        <v>135</v>
      </c>
      <c r="F23" s="8" t="s">
        <v>136</v>
      </c>
      <c r="G23" s="13">
        <v>19.8</v>
      </c>
      <c r="H23" t="s">
        <v>137</v>
      </c>
      <c r="I23" t="s">
        <v>138</v>
      </c>
      <c r="J23" s="7">
        <v>4</v>
      </c>
      <c r="L23" s="15">
        <v>45245</v>
      </c>
    </row>
    <row r="24" spans="1:13">
      <c r="A24" s="8">
        <v>23</v>
      </c>
      <c r="B24" t="s">
        <v>139</v>
      </c>
      <c r="C24" t="s">
        <v>14</v>
      </c>
      <c r="D24" t="s">
        <v>140</v>
      </c>
      <c r="E24" t="s">
        <v>141</v>
      </c>
      <c r="F24" s="8" t="s">
        <v>142</v>
      </c>
      <c r="G24" s="6">
        <f>87/2</f>
        <v>43.5</v>
      </c>
      <c r="H24" t="s">
        <v>18</v>
      </c>
      <c r="I24" t="s">
        <v>143</v>
      </c>
      <c r="J24" s="7" t="s">
        <v>144</v>
      </c>
      <c r="K24" t="s">
        <v>145</v>
      </c>
      <c r="L24" s="15">
        <v>45290</v>
      </c>
      <c r="M24" s="15">
        <v>45856</v>
      </c>
    </row>
    <row r="25" spans="1:12">
      <c r="A25" s="8">
        <v>24</v>
      </c>
      <c r="B25" t="s">
        <v>146</v>
      </c>
      <c r="C25" t="s">
        <v>21</v>
      </c>
      <c r="D25" t="s">
        <v>147</v>
      </c>
      <c r="E25" t="s">
        <v>148</v>
      </c>
      <c r="F25" s="8" t="s">
        <v>149</v>
      </c>
      <c r="G25" s="14">
        <v>69</v>
      </c>
      <c r="H25" t="s">
        <v>150</v>
      </c>
      <c r="I25" t="s">
        <v>151</v>
      </c>
      <c r="J25" s="18" t="s">
        <v>152</v>
      </c>
      <c r="L25" s="15">
        <v>45295</v>
      </c>
    </row>
    <row r="26" spans="1:12">
      <c r="A26" s="8">
        <v>25</v>
      </c>
      <c r="B26" t="s">
        <v>85</v>
      </c>
      <c r="C26" t="s">
        <v>21</v>
      </c>
      <c r="D26" t="s">
        <v>153</v>
      </c>
      <c r="E26" t="s">
        <v>154</v>
      </c>
      <c r="F26" s="8" t="s">
        <v>155</v>
      </c>
      <c r="G26" s="6">
        <v>42.4</v>
      </c>
      <c r="H26" t="s">
        <v>156</v>
      </c>
      <c r="I26" t="s">
        <v>30</v>
      </c>
      <c r="J26" s="16">
        <v>5</v>
      </c>
      <c r="L26" s="15">
        <v>45296</v>
      </c>
    </row>
    <row r="27" spans="1:12">
      <c r="A27" s="8">
        <v>26</v>
      </c>
      <c r="B27" t="s">
        <v>157</v>
      </c>
      <c r="C27" t="s">
        <v>14</v>
      </c>
      <c r="D27" t="s">
        <v>158</v>
      </c>
      <c r="E27" t="s">
        <v>159</v>
      </c>
      <c r="F27" s="8" t="s">
        <v>160</v>
      </c>
      <c r="G27" s="6">
        <v>38</v>
      </c>
      <c r="H27" t="s">
        <v>161</v>
      </c>
      <c r="I27" t="s">
        <v>162</v>
      </c>
      <c r="J27" s="17">
        <v>3</v>
      </c>
      <c r="L27" s="15">
        <v>45302</v>
      </c>
    </row>
    <row r="28" spans="1:12">
      <c r="A28" s="8">
        <v>27</v>
      </c>
      <c r="B28" t="s">
        <v>163</v>
      </c>
      <c r="C28" t="s">
        <v>14</v>
      </c>
      <c r="D28" t="s">
        <v>53</v>
      </c>
      <c r="E28" t="s">
        <v>164</v>
      </c>
      <c r="F28" s="8" t="s">
        <v>165</v>
      </c>
      <c r="G28" s="6">
        <v>26.4</v>
      </c>
      <c r="H28" t="s">
        <v>166</v>
      </c>
      <c r="I28" t="s">
        <v>167</v>
      </c>
      <c r="J28" s="7">
        <v>4</v>
      </c>
      <c r="L28" s="15">
        <v>45315</v>
      </c>
    </row>
    <row r="29" spans="1:12">
      <c r="A29" s="8">
        <v>28</v>
      </c>
      <c r="B29" t="s">
        <v>31</v>
      </c>
      <c r="C29" t="s">
        <v>21</v>
      </c>
      <c r="D29" t="s">
        <v>168</v>
      </c>
      <c r="E29" t="s">
        <v>169</v>
      </c>
      <c r="F29" s="8" t="s">
        <v>170</v>
      </c>
      <c r="G29" s="6">
        <v>36</v>
      </c>
      <c r="H29" t="s">
        <v>171</v>
      </c>
      <c r="I29" t="s">
        <v>172</v>
      </c>
      <c r="J29" s="16">
        <v>5</v>
      </c>
      <c r="L29" s="15">
        <v>45316</v>
      </c>
    </row>
    <row r="30" spans="1:12">
      <c r="A30" s="8">
        <v>29</v>
      </c>
      <c r="B30" t="s">
        <v>173</v>
      </c>
      <c r="C30" t="s">
        <v>21</v>
      </c>
      <c r="D30" t="s">
        <v>174</v>
      </c>
      <c r="E30" t="s">
        <v>175</v>
      </c>
      <c r="F30" s="8" t="s">
        <v>160</v>
      </c>
      <c r="G30" s="6">
        <v>38</v>
      </c>
      <c r="H30" t="s">
        <v>24</v>
      </c>
      <c r="I30" t="s">
        <v>36</v>
      </c>
      <c r="J30" s="17">
        <v>3</v>
      </c>
      <c r="L30" s="15">
        <v>45318</v>
      </c>
    </row>
    <row r="31" spans="1:13">
      <c r="A31" s="8">
        <v>30</v>
      </c>
      <c r="B31" t="s">
        <v>47</v>
      </c>
      <c r="C31" t="s">
        <v>14</v>
      </c>
      <c r="D31" t="s">
        <v>176</v>
      </c>
      <c r="E31" t="s">
        <v>177</v>
      </c>
      <c r="F31" s="8" t="s">
        <v>178</v>
      </c>
      <c r="G31" s="6">
        <v>31.5</v>
      </c>
      <c r="H31" t="s">
        <v>179</v>
      </c>
      <c r="I31" t="s">
        <v>180</v>
      </c>
      <c r="J31" s="7">
        <v>4</v>
      </c>
      <c r="L31" s="15">
        <v>45321</v>
      </c>
      <c r="M31" s="15">
        <v>45549</v>
      </c>
    </row>
    <row r="32" spans="1:12">
      <c r="A32" s="8">
        <v>31</v>
      </c>
      <c r="B32" t="s">
        <v>181</v>
      </c>
      <c r="C32" t="s">
        <v>21</v>
      </c>
      <c r="D32" t="s">
        <v>182</v>
      </c>
      <c r="E32" t="s">
        <v>183</v>
      </c>
      <c r="F32" s="8" t="s">
        <v>184</v>
      </c>
      <c r="G32" s="6">
        <v>21</v>
      </c>
      <c r="H32" t="s">
        <v>185</v>
      </c>
      <c r="I32" t="s">
        <v>186</v>
      </c>
      <c r="J32" s="17">
        <v>3</v>
      </c>
      <c r="L32" s="15">
        <v>45322</v>
      </c>
    </row>
    <row r="33" spans="1:12">
      <c r="A33" s="8">
        <v>32</v>
      </c>
      <c r="B33" t="s">
        <v>187</v>
      </c>
      <c r="C33" t="s">
        <v>14</v>
      </c>
      <c r="D33" t="s">
        <v>188</v>
      </c>
      <c r="E33" t="s">
        <v>189</v>
      </c>
      <c r="F33" s="8" t="s">
        <v>190</v>
      </c>
      <c r="G33" s="6">
        <v>29</v>
      </c>
      <c r="H33" t="s">
        <v>191</v>
      </c>
      <c r="I33" t="s">
        <v>172</v>
      </c>
      <c r="J33" s="7" t="s">
        <v>144</v>
      </c>
      <c r="L33" s="15">
        <v>45323</v>
      </c>
    </row>
    <row r="34" spans="1:12">
      <c r="A34" s="8">
        <v>33</v>
      </c>
      <c r="B34" t="s">
        <v>192</v>
      </c>
      <c r="C34" t="s">
        <v>21</v>
      </c>
      <c r="D34" t="s">
        <v>193</v>
      </c>
      <c r="E34" t="s">
        <v>194</v>
      </c>
      <c r="F34" s="8" t="s">
        <v>195</v>
      </c>
      <c r="G34" s="6">
        <v>35.2</v>
      </c>
      <c r="H34" t="s">
        <v>196</v>
      </c>
      <c r="I34" t="s">
        <v>197</v>
      </c>
      <c r="J34" s="7">
        <v>3.5</v>
      </c>
      <c r="L34" s="15">
        <v>45324</v>
      </c>
    </row>
    <row r="35" spans="1:12">
      <c r="A35" s="8">
        <v>34</v>
      </c>
      <c r="B35" t="s">
        <v>198</v>
      </c>
      <c r="C35" t="s">
        <v>21</v>
      </c>
      <c r="D35" t="s">
        <v>199</v>
      </c>
      <c r="E35" t="s">
        <v>200</v>
      </c>
      <c r="F35" s="8" t="s">
        <v>111</v>
      </c>
      <c r="G35" s="13">
        <v>17.6</v>
      </c>
      <c r="H35" t="s">
        <v>201</v>
      </c>
      <c r="I35" t="s">
        <v>202</v>
      </c>
      <c r="J35" s="17">
        <v>2</v>
      </c>
      <c r="L35" s="15">
        <v>45326</v>
      </c>
    </row>
    <row r="36" spans="1:12">
      <c r="A36" s="8">
        <v>35</v>
      </c>
      <c r="B36" t="s">
        <v>203</v>
      </c>
      <c r="C36" t="s">
        <v>21</v>
      </c>
      <c r="D36" t="s">
        <v>204</v>
      </c>
      <c r="E36" t="s">
        <v>205</v>
      </c>
      <c r="F36" s="8" t="s">
        <v>206</v>
      </c>
      <c r="G36" s="13">
        <v>17.6</v>
      </c>
      <c r="H36" t="s">
        <v>201</v>
      </c>
      <c r="I36" t="s">
        <v>207</v>
      </c>
      <c r="J36" s="17">
        <v>3</v>
      </c>
      <c r="L36" s="15">
        <v>45329</v>
      </c>
    </row>
    <row r="37" spans="1:12">
      <c r="A37" s="8">
        <v>36</v>
      </c>
      <c r="B37" t="s">
        <v>122</v>
      </c>
      <c r="C37" t="s">
        <v>21</v>
      </c>
      <c r="D37" t="s">
        <v>208</v>
      </c>
      <c r="E37" t="s">
        <v>209</v>
      </c>
      <c r="F37" s="8" t="s">
        <v>210</v>
      </c>
      <c r="G37" s="6">
        <v>25.6</v>
      </c>
      <c r="H37" t="s">
        <v>211</v>
      </c>
      <c r="I37" t="s">
        <v>36</v>
      </c>
      <c r="J37" s="7">
        <v>4</v>
      </c>
      <c r="L37" s="15">
        <v>45331</v>
      </c>
    </row>
    <row r="38" spans="1:13">
      <c r="A38" s="8">
        <v>37</v>
      </c>
      <c r="B38" t="s">
        <v>122</v>
      </c>
      <c r="C38" t="s">
        <v>21</v>
      </c>
      <c r="D38" t="s">
        <v>212</v>
      </c>
      <c r="E38" t="s">
        <v>213</v>
      </c>
      <c r="F38" s="8" t="s">
        <v>61</v>
      </c>
      <c r="G38" s="6">
        <v>34.4</v>
      </c>
      <c r="H38" t="s">
        <v>179</v>
      </c>
      <c r="I38" t="s">
        <v>214</v>
      </c>
      <c r="J38" s="7" t="s">
        <v>144</v>
      </c>
      <c r="K38" t="s">
        <v>215</v>
      </c>
      <c r="L38" s="15">
        <v>45333</v>
      </c>
      <c r="M38" s="15">
        <v>45683</v>
      </c>
    </row>
    <row r="39" spans="1:12">
      <c r="A39" s="8">
        <v>38</v>
      </c>
      <c r="B39" t="s">
        <v>216</v>
      </c>
      <c r="C39" t="s">
        <v>21</v>
      </c>
      <c r="D39" t="s">
        <v>217</v>
      </c>
      <c r="E39" t="s">
        <v>218</v>
      </c>
      <c r="F39" s="8" t="s">
        <v>219</v>
      </c>
      <c r="G39" s="6">
        <v>25</v>
      </c>
      <c r="H39" t="s">
        <v>62</v>
      </c>
      <c r="I39" t="s">
        <v>220</v>
      </c>
      <c r="J39" s="17">
        <v>2</v>
      </c>
      <c r="L39" s="15">
        <v>45341</v>
      </c>
    </row>
    <row r="40" spans="1:12">
      <c r="A40" s="8">
        <v>39</v>
      </c>
      <c r="B40" t="s">
        <v>47</v>
      </c>
      <c r="C40" t="s">
        <v>21</v>
      </c>
      <c r="D40" t="s">
        <v>221</v>
      </c>
      <c r="E40" t="s">
        <v>222</v>
      </c>
      <c r="F40" s="8" t="s">
        <v>190</v>
      </c>
      <c r="G40" s="6">
        <v>29</v>
      </c>
      <c r="H40" t="s">
        <v>223</v>
      </c>
      <c r="I40" t="s">
        <v>224</v>
      </c>
      <c r="J40" s="7" t="s">
        <v>20</v>
      </c>
      <c r="L40" s="15">
        <v>45343</v>
      </c>
    </row>
    <row r="41" spans="1:12">
      <c r="A41" s="8">
        <v>40</v>
      </c>
      <c r="B41" t="s">
        <v>187</v>
      </c>
      <c r="C41" t="s">
        <v>21</v>
      </c>
      <c r="D41" t="s">
        <v>225</v>
      </c>
      <c r="E41" t="s">
        <v>226</v>
      </c>
      <c r="F41" s="8" t="s">
        <v>227</v>
      </c>
      <c r="G41" s="6">
        <v>24</v>
      </c>
      <c r="H41" t="s">
        <v>228</v>
      </c>
      <c r="I41" t="s">
        <v>229</v>
      </c>
      <c r="J41" s="18" t="s">
        <v>121</v>
      </c>
      <c r="L41" s="15">
        <v>45344</v>
      </c>
    </row>
    <row r="42" spans="1:12">
      <c r="A42" s="8">
        <v>41</v>
      </c>
      <c r="B42" t="s">
        <v>181</v>
      </c>
      <c r="C42" t="s">
        <v>14</v>
      </c>
      <c r="D42" t="s">
        <v>230</v>
      </c>
      <c r="E42" t="s">
        <v>231</v>
      </c>
      <c r="F42" s="8" t="s">
        <v>232</v>
      </c>
      <c r="G42" s="6">
        <v>44</v>
      </c>
      <c r="H42" t="s">
        <v>24</v>
      </c>
      <c r="I42" t="s">
        <v>233</v>
      </c>
      <c r="J42" s="17">
        <v>3</v>
      </c>
      <c r="L42" s="15">
        <v>45346</v>
      </c>
    </row>
    <row r="43" spans="1:12">
      <c r="A43" s="8">
        <v>42</v>
      </c>
      <c r="B43" t="s">
        <v>234</v>
      </c>
      <c r="C43" t="s">
        <v>21</v>
      </c>
      <c r="D43" t="s">
        <v>235</v>
      </c>
      <c r="E43" t="s">
        <v>236</v>
      </c>
      <c r="F43" s="8" t="s">
        <v>237</v>
      </c>
      <c r="G43" s="6">
        <v>22</v>
      </c>
      <c r="H43" t="s">
        <v>238</v>
      </c>
      <c r="I43" t="s">
        <v>239</v>
      </c>
      <c r="J43" s="7">
        <v>3.5</v>
      </c>
      <c r="L43" s="15">
        <v>45348</v>
      </c>
    </row>
    <row r="44" spans="1:12">
      <c r="A44" s="8">
        <v>43</v>
      </c>
      <c r="B44" t="s">
        <v>240</v>
      </c>
      <c r="C44" t="s">
        <v>21</v>
      </c>
      <c r="D44" t="s">
        <v>241</v>
      </c>
      <c r="E44" t="s">
        <v>242</v>
      </c>
      <c r="F44" s="8" t="s">
        <v>243</v>
      </c>
      <c r="G44" s="6">
        <v>26</v>
      </c>
      <c r="H44" t="s">
        <v>244</v>
      </c>
      <c r="I44" t="s">
        <v>245</v>
      </c>
      <c r="J44" s="17">
        <v>3</v>
      </c>
      <c r="L44" s="15">
        <v>45345</v>
      </c>
    </row>
    <row r="45" spans="1:12">
      <c r="A45" s="8">
        <v>44</v>
      </c>
      <c r="B45" t="s">
        <v>246</v>
      </c>
      <c r="C45" t="s">
        <v>14</v>
      </c>
      <c r="D45" t="s">
        <v>247</v>
      </c>
      <c r="E45" t="s">
        <v>105</v>
      </c>
      <c r="F45" s="8" t="s">
        <v>248</v>
      </c>
      <c r="G45" s="14">
        <v>52.5</v>
      </c>
      <c r="H45" t="s">
        <v>249</v>
      </c>
      <c r="I45" t="s">
        <v>250</v>
      </c>
      <c r="J45" s="7" t="s">
        <v>20</v>
      </c>
      <c r="L45" s="15">
        <v>45360</v>
      </c>
    </row>
    <row r="46" spans="1:12">
      <c r="A46" s="8">
        <v>45</v>
      </c>
      <c r="B46" t="s">
        <v>251</v>
      </c>
      <c r="C46" t="s">
        <v>21</v>
      </c>
      <c r="D46" t="s">
        <v>252</v>
      </c>
      <c r="E46" t="s">
        <v>253</v>
      </c>
      <c r="F46" s="8" t="s">
        <v>254</v>
      </c>
      <c r="G46" s="6">
        <v>43.2</v>
      </c>
      <c r="H46" t="s">
        <v>24</v>
      </c>
      <c r="I46" t="s">
        <v>255</v>
      </c>
      <c r="J46" s="17">
        <v>2.5</v>
      </c>
      <c r="L46" s="15">
        <v>45353</v>
      </c>
    </row>
    <row r="47" spans="1:12">
      <c r="A47" s="8">
        <v>46</v>
      </c>
      <c r="B47" t="s">
        <v>256</v>
      </c>
      <c r="C47" t="s">
        <v>14</v>
      </c>
      <c r="D47" t="s">
        <v>257</v>
      </c>
      <c r="E47" t="s">
        <v>258</v>
      </c>
      <c r="F47" s="8" t="s">
        <v>149</v>
      </c>
      <c r="G47" s="14">
        <v>69</v>
      </c>
      <c r="H47" t="s">
        <v>259</v>
      </c>
      <c r="I47" t="s">
        <v>260</v>
      </c>
      <c r="J47" s="7" t="s">
        <v>20</v>
      </c>
      <c r="L47" s="15">
        <v>45362</v>
      </c>
    </row>
    <row r="48" spans="1:12">
      <c r="A48" s="8">
        <v>47</v>
      </c>
      <c r="B48" t="s">
        <v>31</v>
      </c>
      <c r="C48" t="s">
        <v>21</v>
      </c>
      <c r="D48" t="s">
        <v>261</v>
      </c>
      <c r="E48" t="s">
        <v>262</v>
      </c>
      <c r="F48" s="8" t="s">
        <v>263</v>
      </c>
      <c r="G48" s="6">
        <v>28.2</v>
      </c>
      <c r="H48" t="s">
        <v>264</v>
      </c>
      <c r="I48" t="s">
        <v>265</v>
      </c>
      <c r="J48" s="7" t="s">
        <v>144</v>
      </c>
      <c r="L48" s="15">
        <v>45357</v>
      </c>
    </row>
    <row r="49" spans="1:13">
      <c r="A49" s="8">
        <v>48</v>
      </c>
      <c r="B49" t="s">
        <v>157</v>
      </c>
      <c r="C49" t="s">
        <v>21</v>
      </c>
      <c r="D49" t="s">
        <v>266</v>
      </c>
      <c r="E49" t="s">
        <v>267</v>
      </c>
      <c r="F49" s="8" t="s">
        <v>268</v>
      </c>
      <c r="G49" s="6">
        <v>31.6</v>
      </c>
      <c r="H49" t="s">
        <v>24</v>
      </c>
      <c r="I49" t="s">
        <v>269</v>
      </c>
      <c r="J49" s="7" t="s">
        <v>20</v>
      </c>
      <c r="L49" s="15">
        <v>45358</v>
      </c>
      <c r="M49" s="15">
        <v>45845</v>
      </c>
    </row>
    <row r="50" spans="1:12">
      <c r="A50" s="8">
        <v>49</v>
      </c>
      <c r="B50" t="s">
        <v>181</v>
      </c>
      <c r="C50" t="s">
        <v>21</v>
      </c>
      <c r="D50" t="s">
        <v>270</v>
      </c>
      <c r="E50" t="s">
        <v>271</v>
      </c>
      <c r="F50" s="8" t="s">
        <v>272</v>
      </c>
      <c r="G50" s="13">
        <v>19.8</v>
      </c>
      <c r="H50" t="s">
        <v>273</v>
      </c>
      <c r="I50" t="s">
        <v>274</v>
      </c>
      <c r="J50" s="7">
        <v>3.5</v>
      </c>
      <c r="L50" s="15">
        <v>45356</v>
      </c>
    </row>
    <row r="51" spans="1:12">
      <c r="A51" s="8">
        <v>50</v>
      </c>
      <c r="B51" t="s">
        <v>31</v>
      </c>
      <c r="C51" t="s">
        <v>14</v>
      </c>
      <c r="D51" t="s">
        <v>275</v>
      </c>
      <c r="E51" t="s">
        <v>276</v>
      </c>
      <c r="F51" s="8" t="s">
        <v>45</v>
      </c>
      <c r="G51" s="6">
        <v>33</v>
      </c>
      <c r="H51" t="s">
        <v>277</v>
      </c>
      <c r="I51" t="s">
        <v>30</v>
      </c>
      <c r="J51" s="16">
        <v>5</v>
      </c>
      <c r="L51" s="15">
        <v>45359</v>
      </c>
    </row>
    <row r="52" spans="1:12">
      <c r="A52" s="8">
        <v>51</v>
      </c>
      <c r="B52" t="s">
        <v>278</v>
      </c>
      <c r="C52" t="s">
        <v>21</v>
      </c>
      <c r="D52" t="s">
        <v>279</v>
      </c>
      <c r="E52" t="s">
        <v>280</v>
      </c>
      <c r="F52" s="8" t="s">
        <v>281</v>
      </c>
      <c r="G52" s="6">
        <v>28</v>
      </c>
      <c r="H52" t="s">
        <v>24</v>
      </c>
      <c r="I52" t="s">
        <v>282</v>
      </c>
      <c r="J52" s="17">
        <v>2.5</v>
      </c>
      <c r="L52" s="15">
        <v>45360</v>
      </c>
    </row>
    <row r="53" spans="1:12">
      <c r="A53" s="8">
        <v>52</v>
      </c>
      <c r="B53" t="s">
        <v>283</v>
      </c>
      <c r="C53" t="s">
        <v>21</v>
      </c>
      <c r="D53" t="s">
        <v>284</v>
      </c>
      <c r="E53" t="s">
        <v>285</v>
      </c>
      <c r="F53" s="8" t="s">
        <v>286</v>
      </c>
      <c r="G53" s="6">
        <v>36.1</v>
      </c>
      <c r="H53" t="s">
        <v>89</v>
      </c>
      <c r="I53" t="s">
        <v>287</v>
      </c>
      <c r="J53" s="7">
        <v>3.5</v>
      </c>
      <c r="L53" s="15">
        <v>45363</v>
      </c>
    </row>
    <row r="54" spans="1:12">
      <c r="A54" s="8">
        <v>53</v>
      </c>
      <c r="B54" t="s">
        <v>31</v>
      </c>
      <c r="C54" t="s">
        <v>21</v>
      </c>
      <c r="D54" t="s">
        <v>288</v>
      </c>
      <c r="E54" t="s">
        <v>289</v>
      </c>
      <c r="F54" s="8" t="s">
        <v>290</v>
      </c>
      <c r="G54" s="6">
        <v>35.5</v>
      </c>
      <c r="H54" t="s">
        <v>291</v>
      </c>
      <c r="I54" t="s">
        <v>292</v>
      </c>
      <c r="J54" s="7" t="s">
        <v>20</v>
      </c>
      <c r="L54" s="15">
        <v>45364</v>
      </c>
    </row>
    <row r="55" spans="1:12">
      <c r="A55" s="8">
        <v>54</v>
      </c>
      <c r="B55" t="s">
        <v>293</v>
      </c>
      <c r="C55" t="s">
        <v>21</v>
      </c>
      <c r="D55" t="s">
        <v>294</v>
      </c>
      <c r="E55" t="s">
        <v>295</v>
      </c>
      <c r="F55" s="8" t="s">
        <v>296</v>
      </c>
      <c r="G55" s="13">
        <v>17.4</v>
      </c>
      <c r="H55" t="s">
        <v>62</v>
      </c>
      <c r="I55" t="s">
        <v>297</v>
      </c>
      <c r="J55" s="17">
        <v>1.5</v>
      </c>
      <c r="L55" s="15">
        <v>45366</v>
      </c>
    </row>
    <row r="56" spans="1:12">
      <c r="A56" s="8">
        <v>55</v>
      </c>
      <c r="B56" t="s">
        <v>283</v>
      </c>
      <c r="C56" t="s">
        <v>21</v>
      </c>
      <c r="D56" t="s">
        <v>298</v>
      </c>
      <c r="E56" t="s">
        <v>299</v>
      </c>
      <c r="F56" s="8" t="s">
        <v>300</v>
      </c>
      <c r="G56" s="6">
        <v>22.4</v>
      </c>
      <c r="H56" t="s">
        <v>301</v>
      </c>
      <c r="I56" t="s">
        <v>172</v>
      </c>
      <c r="J56" s="7">
        <v>4</v>
      </c>
      <c r="L56" s="15">
        <v>45368</v>
      </c>
    </row>
    <row r="57" spans="1:12">
      <c r="A57" s="8">
        <v>56</v>
      </c>
      <c r="B57" t="s">
        <v>122</v>
      </c>
      <c r="C57" t="s">
        <v>21</v>
      </c>
      <c r="D57" t="s">
        <v>302</v>
      </c>
      <c r="E57" t="s">
        <v>303</v>
      </c>
      <c r="F57" s="8" t="s">
        <v>304</v>
      </c>
      <c r="G57" s="6">
        <v>32</v>
      </c>
      <c r="H57" t="s">
        <v>305</v>
      </c>
      <c r="I57" t="s">
        <v>274</v>
      </c>
      <c r="J57" s="7">
        <v>4</v>
      </c>
      <c r="L57" s="15">
        <v>45370</v>
      </c>
    </row>
    <row r="58" spans="1:12">
      <c r="A58" s="8">
        <v>57</v>
      </c>
      <c r="B58" t="s">
        <v>283</v>
      </c>
      <c r="C58" t="s">
        <v>21</v>
      </c>
      <c r="D58" t="s">
        <v>306</v>
      </c>
      <c r="E58" t="s">
        <v>307</v>
      </c>
      <c r="F58" s="8" t="s">
        <v>308</v>
      </c>
      <c r="G58" s="6">
        <v>24.6</v>
      </c>
      <c r="H58" t="s">
        <v>309</v>
      </c>
      <c r="I58" t="s">
        <v>172</v>
      </c>
      <c r="J58" s="7" t="s">
        <v>144</v>
      </c>
      <c r="L58" s="15">
        <v>45371</v>
      </c>
    </row>
    <row r="59" spans="1:12">
      <c r="A59" s="8">
        <v>58</v>
      </c>
      <c r="B59" t="s">
        <v>310</v>
      </c>
      <c r="C59" t="s">
        <v>21</v>
      </c>
      <c r="D59" t="s">
        <v>311</v>
      </c>
      <c r="E59" t="s">
        <v>312</v>
      </c>
      <c r="F59" s="8" t="s">
        <v>313</v>
      </c>
      <c r="G59" s="13">
        <v>19.4</v>
      </c>
      <c r="H59" t="s">
        <v>314</v>
      </c>
      <c r="I59" t="s">
        <v>315</v>
      </c>
      <c r="J59" s="7">
        <v>4</v>
      </c>
      <c r="L59" s="15">
        <v>45373</v>
      </c>
    </row>
    <row r="60" spans="1:12">
      <c r="A60" s="8">
        <v>59</v>
      </c>
      <c r="B60" t="s">
        <v>316</v>
      </c>
      <c r="C60" t="s">
        <v>21</v>
      </c>
      <c r="D60" t="s">
        <v>317</v>
      </c>
      <c r="E60" t="s">
        <v>318</v>
      </c>
      <c r="F60" t="s">
        <v>319</v>
      </c>
      <c r="G60" s="6">
        <v>32.6</v>
      </c>
      <c r="H60" t="s">
        <v>62</v>
      </c>
      <c r="I60" t="s">
        <v>320</v>
      </c>
      <c r="J60" s="17">
        <v>1</v>
      </c>
      <c r="L60" s="15">
        <v>45371</v>
      </c>
    </row>
    <row r="61" spans="1:12">
      <c r="A61" s="8">
        <v>60</v>
      </c>
      <c r="B61" t="s">
        <v>64</v>
      </c>
      <c r="C61" t="s">
        <v>21</v>
      </c>
      <c r="D61" t="s">
        <v>321</v>
      </c>
      <c r="E61" t="s">
        <v>322</v>
      </c>
      <c r="F61" s="8" t="s">
        <v>323</v>
      </c>
      <c r="G61" s="6">
        <v>27.8</v>
      </c>
      <c r="H61" t="s">
        <v>324</v>
      </c>
      <c r="I61" t="s">
        <v>325</v>
      </c>
      <c r="J61" s="16">
        <v>4.5</v>
      </c>
      <c r="L61" s="15">
        <v>45375</v>
      </c>
    </row>
    <row r="62" spans="1:12">
      <c r="A62" s="8">
        <v>61</v>
      </c>
      <c r="B62" t="s">
        <v>283</v>
      </c>
      <c r="C62" t="s">
        <v>21</v>
      </c>
      <c r="D62" t="s">
        <v>326</v>
      </c>
      <c r="E62" t="s">
        <v>327</v>
      </c>
      <c r="F62" s="8" t="s">
        <v>328</v>
      </c>
      <c r="G62" s="13">
        <v>18.5</v>
      </c>
      <c r="H62" t="s">
        <v>329</v>
      </c>
      <c r="I62" t="s">
        <v>96</v>
      </c>
      <c r="J62" s="7">
        <v>4</v>
      </c>
      <c r="L62" s="15">
        <v>45377</v>
      </c>
    </row>
    <row r="63" spans="1:12">
      <c r="A63" s="8">
        <v>62</v>
      </c>
      <c r="B63" t="s">
        <v>330</v>
      </c>
      <c r="C63" t="s">
        <v>21</v>
      </c>
      <c r="D63" t="s">
        <v>331</v>
      </c>
      <c r="E63" t="s">
        <v>332</v>
      </c>
      <c r="F63" s="8" t="s">
        <v>333</v>
      </c>
      <c r="G63" s="13">
        <v>15.8</v>
      </c>
      <c r="H63" t="s">
        <v>35</v>
      </c>
      <c r="I63" t="s">
        <v>334</v>
      </c>
      <c r="J63" s="7">
        <v>4</v>
      </c>
      <c r="L63" s="15">
        <v>45380</v>
      </c>
    </row>
    <row r="64" spans="1:12">
      <c r="A64" s="8">
        <v>63</v>
      </c>
      <c r="B64" t="s">
        <v>335</v>
      </c>
      <c r="C64" t="s">
        <v>21</v>
      </c>
      <c r="D64" t="s">
        <v>336</v>
      </c>
      <c r="E64" t="s">
        <v>337</v>
      </c>
      <c r="F64" s="8" t="s">
        <v>338</v>
      </c>
      <c r="G64" s="13">
        <v>11</v>
      </c>
      <c r="H64" t="s">
        <v>339</v>
      </c>
      <c r="I64" t="s">
        <v>340</v>
      </c>
      <c r="J64" s="17">
        <v>2.5</v>
      </c>
      <c r="L64" s="15">
        <v>45382</v>
      </c>
    </row>
    <row r="65" spans="1:1">
      <c r="A65" s="8">
        <v>64</v>
      </c>
    </row>
    <row r="66" spans="1:12">
      <c r="A66" s="8">
        <v>65</v>
      </c>
      <c r="B66" t="s">
        <v>283</v>
      </c>
      <c r="C66" t="s">
        <v>21</v>
      </c>
      <c r="D66" t="s">
        <v>341</v>
      </c>
      <c r="E66" t="s">
        <v>342</v>
      </c>
      <c r="F66" s="8" t="s">
        <v>343</v>
      </c>
      <c r="G66" s="14">
        <v>52.3</v>
      </c>
      <c r="H66" t="s">
        <v>344</v>
      </c>
      <c r="I66" t="s">
        <v>345</v>
      </c>
      <c r="J66" s="7">
        <v>4</v>
      </c>
      <c r="K66" t="s">
        <v>346</v>
      </c>
      <c r="L66" s="15">
        <v>45384</v>
      </c>
    </row>
    <row r="67" spans="1:12">
      <c r="A67" s="8">
        <v>66</v>
      </c>
      <c r="B67" t="s">
        <v>91</v>
      </c>
      <c r="C67" t="s">
        <v>14</v>
      </c>
      <c r="D67" t="s">
        <v>347</v>
      </c>
      <c r="E67" t="s">
        <v>348</v>
      </c>
      <c r="F67" s="8" t="s">
        <v>349</v>
      </c>
      <c r="G67" s="6">
        <v>34.5</v>
      </c>
      <c r="H67" t="s">
        <v>350</v>
      </c>
      <c r="I67" t="s">
        <v>351</v>
      </c>
      <c r="J67" s="16">
        <v>4.5</v>
      </c>
      <c r="L67" s="15">
        <v>45386</v>
      </c>
    </row>
    <row r="68" spans="1:12">
      <c r="A68" s="8">
        <v>67</v>
      </c>
      <c r="B68" t="s">
        <v>122</v>
      </c>
      <c r="C68" t="s">
        <v>21</v>
      </c>
      <c r="D68" t="s">
        <v>352</v>
      </c>
      <c r="E68" t="s">
        <v>353</v>
      </c>
      <c r="F68" s="8" t="s">
        <v>61</v>
      </c>
      <c r="G68" s="6">
        <v>34.4</v>
      </c>
      <c r="H68" t="s">
        <v>51</v>
      </c>
      <c r="I68" t="s">
        <v>354</v>
      </c>
      <c r="J68" s="7" t="s">
        <v>144</v>
      </c>
      <c r="L68" s="15">
        <v>45388</v>
      </c>
    </row>
    <row r="69" spans="1:12">
      <c r="A69" s="8">
        <v>68</v>
      </c>
      <c r="B69" t="s">
        <v>278</v>
      </c>
      <c r="C69" t="s">
        <v>21</v>
      </c>
      <c r="D69" t="s">
        <v>355</v>
      </c>
      <c r="E69" t="s">
        <v>356</v>
      </c>
      <c r="F69" s="8" t="s">
        <v>357</v>
      </c>
      <c r="G69" s="6">
        <v>26</v>
      </c>
      <c r="H69" t="s">
        <v>62</v>
      </c>
      <c r="I69" t="s">
        <v>358</v>
      </c>
      <c r="J69" s="17">
        <v>2</v>
      </c>
      <c r="L69" s="15">
        <v>45389</v>
      </c>
    </row>
    <row r="70" spans="1:12">
      <c r="A70" s="8">
        <v>69</v>
      </c>
      <c r="B70" t="s">
        <v>359</v>
      </c>
      <c r="C70" t="s">
        <v>21</v>
      </c>
      <c r="D70" t="s">
        <v>360</v>
      </c>
      <c r="E70" t="s">
        <v>361</v>
      </c>
      <c r="F70" s="8" t="s">
        <v>362</v>
      </c>
      <c r="G70" s="6">
        <v>26.3</v>
      </c>
      <c r="H70" t="s">
        <v>89</v>
      </c>
      <c r="I70" t="s">
        <v>363</v>
      </c>
      <c r="J70" s="7">
        <v>3.5</v>
      </c>
      <c r="L70" s="15">
        <v>45391</v>
      </c>
    </row>
    <row r="71" spans="1:12">
      <c r="A71" s="8">
        <v>70</v>
      </c>
      <c r="B71" t="s">
        <v>31</v>
      </c>
      <c r="C71" t="s">
        <v>14</v>
      </c>
      <c r="D71" t="s">
        <v>364</v>
      </c>
      <c r="E71" t="s">
        <v>365</v>
      </c>
      <c r="F71" s="8" t="s">
        <v>366</v>
      </c>
      <c r="G71" s="6">
        <v>36.5</v>
      </c>
      <c r="H71" t="s">
        <v>367</v>
      </c>
      <c r="I71" t="s">
        <v>30</v>
      </c>
      <c r="J71" s="7">
        <v>4</v>
      </c>
      <c r="L71" s="15">
        <v>45394</v>
      </c>
    </row>
    <row r="72" spans="1:12">
      <c r="A72" s="8">
        <v>71</v>
      </c>
      <c r="B72" t="s">
        <v>31</v>
      </c>
      <c r="C72" t="s">
        <v>14</v>
      </c>
      <c r="D72" t="s">
        <v>368</v>
      </c>
      <c r="E72" t="s">
        <v>369</v>
      </c>
      <c r="F72" s="8" t="s">
        <v>50</v>
      </c>
      <c r="G72" s="6">
        <v>34</v>
      </c>
      <c r="H72" t="s">
        <v>370</v>
      </c>
      <c r="I72" t="s">
        <v>351</v>
      </c>
      <c r="J72" s="16">
        <v>4.5</v>
      </c>
      <c r="L72" s="15">
        <v>45393</v>
      </c>
    </row>
    <row r="73" spans="1:13">
      <c r="A73" s="8">
        <v>72</v>
      </c>
      <c r="B73" t="s">
        <v>47</v>
      </c>
      <c r="C73" t="s">
        <v>14</v>
      </c>
      <c r="D73" t="s">
        <v>371</v>
      </c>
      <c r="E73" t="s">
        <v>372</v>
      </c>
      <c r="F73" s="8" t="s">
        <v>190</v>
      </c>
      <c r="G73" s="6">
        <v>29</v>
      </c>
      <c r="H73" t="s">
        <v>373</v>
      </c>
      <c r="I73" t="s">
        <v>374</v>
      </c>
      <c r="J73" s="7" t="s">
        <v>20</v>
      </c>
      <c r="L73" s="15">
        <v>45396</v>
      </c>
      <c r="M73" s="15">
        <v>45549</v>
      </c>
    </row>
    <row r="74" spans="1:12">
      <c r="A74" s="8">
        <v>73</v>
      </c>
      <c r="B74" t="s">
        <v>64</v>
      </c>
      <c r="C74" t="s">
        <v>21</v>
      </c>
      <c r="D74" t="s">
        <v>375</v>
      </c>
      <c r="E74" t="s">
        <v>376</v>
      </c>
      <c r="F74" s="8" t="s">
        <v>377</v>
      </c>
      <c r="G74" s="6">
        <v>38.3</v>
      </c>
      <c r="H74" t="s">
        <v>351</v>
      </c>
      <c r="I74" t="s">
        <v>378</v>
      </c>
      <c r="J74" s="17">
        <v>2.5</v>
      </c>
      <c r="L74" s="15">
        <v>45399</v>
      </c>
    </row>
    <row r="75" spans="1:12">
      <c r="A75" s="8">
        <v>74</v>
      </c>
      <c r="B75" t="s">
        <v>64</v>
      </c>
      <c r="C75" t="s">
        <v>21</v>
      </c>
      <c r="D75" t="s">
        <v>379</v>
      </c>
      <c r="E75" t="s">
        <v>380</v>
      </c>
      <c r="F75" s="8" t="s">
        <v>381</v>
      </c>
      <c r="G75" s="6">
        <v>37.4</v>
      </c>
      <c r="H75" t="s">
        <v>382</v>
      </c>
      <c r="I75" t="s">
        <v>383</v>
      </c>
      <c r="J75" s="17">
        <v>3</v>
      </c>
      <c r="L75" s="15">
        <v>45400</v>
      </c>
    </row>
    <row r="76" spans="1:12">
      <c r="A76" s="8">
        <v>75</v>
      </c>
      <c r="B76" t="s">
        <v>384</v>
      </c>
      <c r="C76" t="s">
        <v>14</v>
      </c>
      <c r="D76" t="s">
        <v>385</v>
      </c>
      <c r="E76" t="s">
        <v>386</v>
      </c>
      <c r="F76" s="8" t="s">
        <v>387</v>
      </c>
      <c r="G76" s="6">
        <v>36</v>
      </c>
      <c r="H76" t="s">
        <v>388</v>
      </c>
      <c r="I76" t="s">
        <v>389</v>
      </c>
      <c r="J76" s="7" t="s">
        <v>144</v>
      </c>
      <c r="L76" s="15">
        <v>45402</v>
      </c>
    </row>
    <row r="77" spans="1:12">
      <c r="A77" s="8">
        <v>76</v>
      </c>
      <c r="B77" t="s">
        <v>85</v>
      </c>
      <c r="C77" t="s">
        <v>390</v>
      </c>
      <c r="D77" t="s">
        <v>385</v>
      </c>
      <c r="E77" t="s">
        <v>391</v>
      </c>
      <c r="F77" s="8" t="s">
        <v>392</v>
      </c>
      <c r="G77" s="6">
        <v>45.6</v>
      </c>
      <c r="H77" t="s">
        <v>393</v>
      </c>
      <c r="I77" t="s">
        <v>394</v>
      </c>
      <c r="J77" s="7" t="s">
        <v>144</v>
      </c>
      <c r="L77" s="15">
        <v>45420</v>
      </c>
    </row>
    <row r="78" spans="1:12">
      <c r="A78" s="8">
        <v>77</v>
      </c>
      <c r="B78" t="s">
        <v>31</v>
      </c>
      <c r="C78" t="s">
        <v>21</v>
      </c>
      <c r="D78" t="s">
        <v>395</v>
      </c>
      <c r="E78" t="s">
        <v>396</v>
      </c>
      <c r="F78" s="8" t="s">
        <v>397</v>
      </c>
      <c r="G78" s="6">
        <v>21.1</v>
      </c>
      <c r="H78" t="s">
        <v>398</v>
      </c>
      <c r="I78" t="s">
        <v>399</v>
      </c>
      <c r="J78" s="7">
        <v>4</v>
      </c>
      <c r="L78" s="15">
        <v>45406</v>
      </c>
    </row>
    <row r="79" spans="1:12">
      <c r="A79" s="8">
        <v>78</v>
      </c>
      <c r="B79" t="s">
        <v>122</v>
      </c>
      <c r="C79" t="s">
        <v>14</v>
      </c>
      <c r="D79" t="s">
        <v>400</v>
      </c>
      <c r="E79" t="s">
        <v>401</v>
      </c>
      <c r="F79" s="8" t="s">
        <v>402</v>
      </c>
      <c r="G79" s="6">
        <v>40.9</v>
      </c>
      <c r="H79" t="s">
        <v>403</v>
      </c>
      <c r="I79" t="s">
        <v>404</v>
      </c>
      <c r="J79" s="16">
        <v>4.5</v>
      </c>
      <c r="L79" s="15">
        <v>45413</v>
      </c>
    </row>
    <row r="80" spans="1:12">
      <c r="A80" s="8">
        <v>79</v>
      </c>
      <c r="B80" t="s">
        <v>122</v>
      </c>
      <c r="C80" t="s">
        <v>21</v>
      </c>
      <c r="D80" t="s">
        <v>405</v>
      </c>
      <c r="E80" t="s">
        <v>406</v>
      </c>
      <c r="F80" s="8" t="s">
        <v>61</v>
      </c>
      <c r="G80" s="6">
        <v>34.3</v>
      </c>
      <c r="H80" t="s">
        <v>407</v>
      </c>
      <c r="I80" t="s">
        <v>408</v>
      </c>
      <c r="J80" s="7" t="s">
        <v>20</v>
      </c>
      <c r="K80" t="s">
        <v>145</v>
      </c>
      <c r="L80" s="15">
        <v>45408</v>
      </c>
    </row>
    <row r="81" spans="1:12">
      <c r="A81" s="8">
        <v>80</v>
      </c>
      <c r="B81" t="s">
        <v>37</v>
      </c>
      <c r="C81" t="s">
        <v>21</v>
      </c>
      <c r="D81" t="s">
        <v>409</v>
      </c>
      <c r="E81" t="s">
        <v>410</v>
      </c>
      <c r="F81" s="8" t="s">
        <v>411</v>
      </c>
      <c r="G81" s="6">
        <v>28</v>
      </c>
      <c r="H81" t="s">
        <v>24</v>
      </c>
      <c r="I81" t="s">
        <v>412</v>
      </c>
      <c r="J81" s="7">
        <v>3.5</v>
      </c>
      <c r="L81" s="15">
        <v>45409</v>
      </c>
    </row>
    <row r="82" spans="1:12">
      <c r="A82" s="8">
        <v>81</v>
      </c>
      <c r="B82" t="s">
        <v>278</v>
      </c>
      <c r="C82" t="s">
        <v>21</v>
      </c>
      <c r="D82" t="s">
        <v>413</v>
      </c>
      <c r="E82" t="s">
        <v>414</v>
      </c>
      <c r="F82" s="8" t="s">
        <v>415</v>
      </c>
      <c r="G82" s="6">
        <v>38.7</v>
      </c>
      <c r="H82" t="s">
        <v>416</v>
      </c>
      <c r="I82" t="s">
        <v>417</v>
      </c>
      <c r="J82" s="17">
        <v>2.5</v>
      </c>
      <c r="L82" s="15">
        <v>45411</v>
      </c>
    </row>
    <row r="83" spans="1:12">
      <c r="A83" s="8">
        <v>82</v>
      </c>
      <c r="B83" t="s">
        <v>31</v>
      </c>
      <c r="C83" t="s">
        <v>21</v>
      </c>
      <c r="D83" t="s">
        <v>418</v>
      </c>
      <c r="E83" t="s">
        <v>419</v>
      </c>
      <c r="F83" s="8" t="s">
        <v>420</v>
      </c>
      <c r="G83" s="6">
        <v>20.9</v>
      </c>
      <c r="H83" t="s">
        <v>89</v>
      </c>
      <c r="I83" t="s">
        <v>421</v>
      </c>
      <c r="J83" s="18" t="s">
        <v>121</v>
      </c>
      <c r="L83" s="15">
        <v>45418</v>
      </c>
    </row>
    <row r="84" spans="1:12">
      <c r="A84" s="8">
        <v>83</v>
      </c>
      <c r="B84" t="s">
        <v>422</v>
      </c>
      <c r="C84" t="s">
        <v>14</v>
      </c>
      <c r="D84" t="s">
        <v>53</v>
      </c>
      <c r="E84" t="s">
        <v>423</v>
      </c>
      <c r="F84" s="8" t="s">
        <v>424</v>
      </c>
      <c r="G84" s="6">
        <v>26</v>
      </c>
      <c r="H84" t="s">
        <v>425</v>
      </c>
      <c r="I84" t="s">
        <v>172</v>
      </c>
      <c r="J84" s="7">
        <v>4</v>
      </c>
      <c r="L84" s="15">
        <v>45413</v>
      </c>
    </row>
    <row r="85" spans="1:12">
      <c r="A85" s="8">
        <v>84</v>
      </c>
      <c r="B85" t="s">
        <v>70</v>
      </c>
      <c r="C85" t="s">
        <v>21</v>
      </c>
      <c r="D85" t="s">
        <v>426</v>
      </c>
      <c r="E85" t="s">
        <v>427</v>
      </c>
      <c r="F85" t="s">
        <v>428</v>
      </c>
      <c r="G85" s="13">
        <v>10.6</v>
      </c>
      <c r="H85" t="s">
        <v>339</v>
      </c>
      <c r="I85" t="s">
        <v>429</v>
      </c>
      <c r="J85" s="17">
        <v>2</v>
      </c>
      <c r="L85" s="15">
        <v>45415</v>
      </c>
    </row>
    <row r="86" spans="1:12">
      <c r="A86" s="8">
        <v>85</v>
      </c>
      <c r="B86" t="s">
        <v>91</v>
      </c>
      <c r="C86" t="s">
        <v>21</v>
      </c>
      <c r="D86" t="s">
        <v>430</v>
      </c>
      <c r="E86" t="s">
        <v>431</v>
      </c>
      <c r="F86" s="8" t="s">
        <v>432</v>
      </c>
      <c r="G86" s="14">
        <v>54</v>
      </c>
      <c r="H86" t="s">
        <v>433</v>
      </c>
      <c r="I86" t="s">
        <v>434</v>
      </c>
      <c r="J86" s="7">
        <v>4</v>
      </c>
      <c r="L86" s="15">
        <v>45419</v>
      </c>
    </row>
    <row r="87" spans="1:12">
      <c r="A87" s="8">
        <v>86</v>
      </c>
      <c r="B87" t="s">
        <v>70</v>
      </c>
      <c r="C87" t="s">
        <v>21</v>
      </c>
      <c r="D87" t="s">
        <v>435</v>
      </c>
      <c r="E87" t="s">
        <v>436</v>
      </c>
      <c r="F87" s="8" t="s">
        <v>333</v>
      </c>
      <c r="G87" s="13">
        <v>15.8</v>
      </c>
      <c r="H87" t="s">
        <v>339</v>
      </c>
      <c r="I87" t="s">
        <v>437</v>
      </c>
      <c r="J87" s="17">
        <v>2</v>
      </c>
      <c r="L87" s="15">
        <v>45424</v>
      </c>
    </row>
    <row r="88" spans="1:12">
      <c r="A88" s="8">
        <v>87</v>
      </c>
      <c r="B88" t="s">
        <v>438</v>
      </c>
      <c r="C88" t="s">
        <v>21</v>
      </c>
      <c r="D88" t="s">
        <v>439</v>
      </c>
      <c r="E88" t="s">
        <v>440</v>
      </c>
      <c r="F88" s="8" t="s">
        <v>441</v>
      </c>
      <c r="G88" s="13">
        <v>18.3</v>
      </c>
      <c r="H88" t="s">
        <v>442</v>
      </c>
      <c r="I88" t="s">
        <v>443</v>
      </c>
      <c r="J88" s="7">
        <v>4</v>
      </c>
      <c r="L88" s="15">
        <v>45422</v>
      </c>
    </row>
    <row r="89" spans="1:12">
      <c r="A89" s="8">
        <v>88</v>
      </c>
      <c r="B89" t="s">
        <v>444</v>
      </c>
      <c r="C89" t="s">
        <v>14</v>
      </c>
      <c r="D89" t="s">
        <v>445</v>
      </c>
      <c r="E89" t="s">
        <v>446</v>
      </c>
      <c r="F89" s="8" t="s">
        <v>447</v>
      </c>
      <c r="G89" s="6">
        <v>24</v>
      </c>
      <c r="H89" t="s">
        <v>448</v>
      </c>
      <c r="I89" t="s">
        <v>351</v>
      </c>
      <c r="J89" s="7" t="s">
        <v>144</v>
      </c>
      <c r="L89" s="15">
        <v>45425</v>
      </c>
    </row>
    <row r="90" spans="1:12">
      <c r="A90" s="8">
        <v>89</v>
      </c>
      <c r="B90" t="s">
        <v>449</v>
      </c>
      <c r="C90" t="s">
        <v>14</v>
      </c>
      <c r="D90" t="s">
        <v>450</v>
      </c>
      <c r="E90" t="s">
        <v>451</v>
      </c>
      <c r="F90" s="8" t="s">
        <v>452</v>
      </c>
      <c r="G90" s="14">
        <v>74.4</v>
      </c>
      <c r="H90" t="s">
        <v>453</v>
      </c>
      <c r="I90" t="s">
        <v>454</v>
      </c>
      <c r="J90" s="20" t="s">
        <v>455</v>
      </c>
      <c r="L90" s="15">
        <v>45421</v>
      </c>
    </row>
    <row r="91" spans="1:12">
      <c r="A91" s="8">
        <v>90</v>
      </c>
      <c r="B91" t="s">
        <v>37</v>
      </c>
      <c r="C91" t="s">
        <v>21</v>
      </c>
      <c r="D91" t="s">
        <v>456</v>
      </c>
      <c r="E91" t="s">
        <v>457</v>
      </c>
      <c r="F91" s="8" t="s">
        <v>45</v>
      </c>
      <c r="G91" s="6">
        <v>33</v>
      </c>
      <c r="H91" t="s">
        <v>458</v>
      </c>
      <c r="I91" t="s">
        <v>459</v>
      </c>
      <c r="J91" s="7" t="s">
        <v>144</v>
      </c>
      <c r="L91" s="15">
        <v>45428</v>
      </c>
    </row>
    <row r="92" spans="1:12">
      <c r="A92" s="8">
        <v>91</v>
      </c>
      <c r="B92" t="s">
        <v>460</v>
      </c>
      <c r="C92" t="s">
        <v>21</v>
      </c>
      <c r="D92" t="s">
        <v>461</v>
      </c>
      <c r="E92" t="s">
        <v>462</v>
      </c>
      <c r="F92" s="8" t="s">
        <v>463</v>
      </c>
      <c r="G92" s="6">
        <v>41</v>
      </c>
      <c r="H92" t="s">
        <v>464</v>
      </c>
      <c r="I92" t="s">
        <v>465</v>
      </c>
      <c r="J92" s="7">
        <v>3.5</v>
      </c>
      <c r="L92" s="15">
        <v>45430</v>
      </c>
    </row>
    <row r="93" spans="1:12">
      <c r="A93" s="8">
        <v>92</v>
      </c>
      <c r="B93" t="s">
        <v>31</v>
      </c>
      <c r="C93" t="s">
        <v>21</v>
      </c>
      <c r="D93" t="s">
        <v>466</v>
      </c>
      <c r="E93" t="s">
        <v>467</v>
      </c>
      <c r="F93" s="8" t="s">
        <v>463</v>
      </c>
      <c r="G93" s="6">
        <v>41</v>
      </c>
      <c r="H93" t="s">
        <v>416</v>
      </c>
      <c r="I93" t="s">
        <v>468</v>
      </c>
      <c r="J93" s="7">
        <v>4</v>
      </c>
      <c r="L93" s="15">
        <v>45433</v>
      </c>
    </row>
    <row r="94" spans="1:12">
      <c r="A94" s="8">
        <v>93</v>
      </c>
      <c r="B94" t="s">
        <v>469</v>
      </c>
      <c r="C94" t="s">
        <v>14</v>
      </c>
      <c r="D94" t="s">
        <v>470</v>
      </c>
      <c r="E94" t="s">
        <v>471</v>
      </c>
      <c r="F94" t="s">
        <v>349</v>
      </c>
      <c r="G94" s="6">
        <v>35.5</v>
      </c>
      <c r="H94" t="s">
        <v>382</v>
      </c>
      <c r="I94" t="s">
        <v>472</v>
      </c>
      <c r="J94" s="7">
        <v>3.5</v>
      </c>
      <c r="L94" s="15">
        <v>45431</v>
      </c>
    </row>
    <row r="95" spans="1:12">
      <c r="A95" s="8">
        <v>94</v>
      </c>
      <c r="B95" t="s">
        <v>473</v>
      </c>
      <c r="C95" t="s">
        <v>21</v>
      </c>
      <c r="D95" t="s">
        <v>474</v>
      </c>
      <c r="E95" t="s">
        <v>475</v>
      </c>
      <c r="F95" s="8" t="s">
        <v>476</v>
      </c>
      <c r="G95" s="6">
        <v>36.3</v>
      </c>
      <c r="H95" t="s">
        <v>477</v>
      </c>
      <c r="I95" t="s">
        <v>478</v>
      </c>
      <c r="J95" s="21">
        <v>5</v>
      </c>
      <c r="K95" t="s">
        <v>479</v>
      </c>
      <c r="L95" s="15">
        <v>45432</v>
      </c>
    </row>
    <row r="96" spans="1:12">
      <c r="A96" s="8">
        <v>95</v>
      </c>
      <c r="B96" t="s">
        <v>70</v>
      </c>
      <c r="C96" t="s">
        <v>21</v>
      </c>
      <c r="D96" t="s">
        <v>480</v>
      </c>
      <c r="E96" t="s">
        <v>481</v>
      </c>
      <c r="F96" s="8" t="s">
        <v>482</v>
      </c>
      <c r="G96" s="13">
        <v>15</v>
      </c>
      <c r="H96" t="s">
        <v>339</v>
      </c>
      <c r="I96" t="s">
        <v>483</v>
      </c>
      <c r="J96" s="17">
        <v>1.5</v>
      </c>
      <c r="L96" s="15">
        <v>45427</v>
      </c>
    </row>
    <row r="97" spans="1:12">
      <c r="A97" s="8">
        <v>96</v>
      </c>
      <c r="B97" t="s">
        <v>283</v>
      </c>
      <c r="C97" t="s">
        <v>14</v>
      </c>
      <c r="D97" t="s">
        <v>484</v>
      </c>
      <c r="E97" t="s">
        <v>485</v>
      </c>
      <c r="F97" s="8" t="s">
        <v>210</v>
      </c>
      <c r="G97" s="6">
        <v>25.6</v>
      </c>
      <c r="H97" t="s">
        <v>339</v>
      </c>
      <c r="I97" t="s">
        <v>486</v>
      </c>
      <c r="J97" s="17">
        <v>3</v>
      </c>
      <c r="L97" s="15">
        <v>45437</v>
      </c>
    </row>
    <row r="98" spans="1:12">
      <c r="A98" s="8">
        <v>97</v>
      </c>
      <c r="B98" t="s">
        <v>487</v>
      </c>
      <c r="C98" t="s">
        <v>14</v>
      </c>
      <c r="D98" t="s">
        <v>488</v>
      </c>
      <c r="E98" t="s">
        <v>489</v>
      </c>
      <c r="F98" s="8" t="s">
        <v>170</v>
      </c>
      <c r="G98" s="6">
        <v>31</v>
      </c>
      <c r="H98" t="s">
        <v>490</v>
      </c>
      <c r="I98" t="s">
        <v>491</v>
      </c>
      <c r="J98" s="7">
        <v>4</v>
      </c>
      <c r="K98" t="s">
        <v>145</v>
      </c>
      <c r="L98" s="15">
        <v>45439</v>
      </c>
    </row>
    <row r="99" spans="1:12">
      <c r="A99" s="8">
        <v>98</v>
      </c>
      <c r="B99" t="s">
        <v>492</v>
      </c>
      <c r="C99" t="s">
        <v>21</v>
      </c>
      <c r="D99" t="s">
        <v>493</v>
      </c>
      <c r="E99" t="s">
        <v>494</v>
      </c>
      <c r="F99" s="8" t="s">
        <v>495</v>
      </c>
      <c r="G99" s="6">
        <v>28.2</v>
      </c>
      <c r="H99" t="s">
        <v>496</v>
      </c>
      <c r="I99" t="s">
        <v>497</v>
      </c>
      <c r="J99" s="7">
        <v>4</v>
      </c>
      <c r="K99" t="s">
        <v>145</v>
      </c>
      <c r="L99" s="15">
        <v>45440</v>
      </c>
    </row>
    <row r="100" spans="1:12">
      <c r="A100" s="8">
        <v>99</v>
      </c>
      <c r="B100" t="s">
        <v>25</v>
      </c>
      <c r="C100" t="s">
        <v>21</v>
      </c>
      <c r="D100" t="s">
        <v>498</v>
      </c>
      <c r="E100" t="s">
        <v>499</v>
      </c>
      <c r="F100" s="8" t="s">
        <v>420</v>
      </c>
      <c r="G100" s="6">
        <v>20.9</v>
      </c>
      <c r="H100" t="s">
        <v>500</v>
      </c>
      <c r="I100" t="s">
        <v>501</v>
      </c>
      <c r="J100" s="7" t="s">
        <v>502</v>
      </c>
      <c r="L100" s="15">
        <v>45441</v>
      </c>
    </row>
    <row r="101" spans="1:12">
      <c r="A101" s="8">
        <v>100</v>
      </c>
      <c r="B101" t="s">
        <v>25</v>
      </c>
      <c r="C101" t="s">
        <v>14</v>
      </c>
      <c r="D101" t="s">
        <v>503</v>
      </c>
      <c r="E101" t="s">
        <v>504</v>
      </c>
      <c r="F101" s="8" t="s">
        <v>505</v>
      </c>
      <c r="G101" s="6">
        <v>33.5</v>
      </c>
      <c r="H101" t="s">
        <v>506</v>
      </c>
      <c r="I101" t="s">
        <v>507</v>
      </c>
      <c r="J101" s="7" t="s">
        <v>144</v>
      </c>
      <c r="K101" t="s">
        <v>145</v>
      </c>
      <c r="L101" s="15">
        <v>45448</v>
      </c>
    </row>
    <row r="102" spans="1:13">
      <c r="A102" s="8">
        <v>101</v>
      </c>
      <c r="B102" t="s">
        <v>508</v>
      </c>
      <c r="C102" t="s">
        <v>14</v>
      </c>
      <c r="D102" t="s">
        <v>509</v>
      </c>
      <c r="E102" t="s">
        <v>510</v>
      </c>
      <c r="F102" s="8" t="s">
        <v>511</v>
      </c>
      <c r="G102" s="13">
        <v>17.4</v>
      </c>
      <c r="H102" t="s">
        <v>35</v>
      </c>
      <c r="I102" t="s">
        <v>172</v>
      </c>
      <c r="J102" s="7" t="s">
        <v>20</v>
      </c>
      <c r="K102" t="s">
        <v>512</v>
      </c>
      <c r="L102" s="15">
        <v>45449</v>
      </c>
      <c r="M102" s="15">
        <v>45549</v>
      </c>
    </row>
    <row r="103" spans="1:12">
      <c r="A103" s="8">
        <v>102</v>
      </c>
      <c r="B103" t="s">
        <v>513</v>
      </c>
      <c r="C103" t="s">
        <v>21</v>
      </c>
      <c r="D103" t="s">
        <v>514</v>
      </c>
      <c r="E103" t="s">
        <v>515</v>
      </c>
      <c r="F103" s="8" t="s">
        <v>516</v>
      </c>
      <c r="G103" s="6" t="s">
        <v>516</v>
      </c>
      <c r="H103" t="s">
        <v>517</v>
      </c>
      <c r="I103" t="s">
        <v>518</v>
      </c>
      <c r="J103" s="7">
        <v>4</v>
      </c>
      <c r="L103" s="15">
        <v>45450</v>
      </c>
    </row>
    <row r="104" spans="1:12">
      <c r="A104" s="8">
        <v>103</v>
      </c>
      <c r="B104" t="s">
        <v>519</v>
      </c>
      <c r="C104" t="s">
        <v>21</v>
      </c>
      <c r="D104" t="s">
        <v>520</v>
      </c>
      <c r="E104" t="s">
        <v>521</v>
      </c>
      <c r="F104" t="s">
        <v>94</v>
      </c>
      <c r="G104" s="6">
        <v>30</v>
      </c>
      <c r="H104" t="s">
        <v>522</v>
      </c>
      <c r="I104" t="s">
        <v>523</v>
      </c>
      <c r="J104" s="17">
        <v>1</v>
      </c>
      <c r="L104" s="15">
        <v>45487</v>
      </c>
    </row>
    <row r="105" spans="1:12">
      <c r="A105" s="8">
        <v>104</v>
      </c>
      <c r="B105" t="s">
        <v>524</v>
      </c>
      <c r="C105" t="s">
        <v>14</v>
      </c>
      <c r="D105" t="s">
        <v>385</v>
      </c>
      <c r="E105" t="s">
        <v>525</v>
      </c>
      <c r="F105" s="8" t="s">
        <v>88</v>
      </c>
      <c r="G105" s="6">
        <v>30.4</v>
      </c>
      <c r="H105" t="s">
        <v>526</v>
      </c>
      <c r="I105" t="s">
        <v>527</v>
      </c>
      <c r="J105" s="7">
        <v>4</v>
      </c>
      <c r="L105" s="15">
        <v>45454</v>
      </c>
    </row>
    <row r="106" spans="1:12">
      <c r="A106" s="8">
        <v>105</v>
      </c>
      <c r="B106" t="s">
        <v>487</v>
      </c>
      <c r="C106" t="s">
        <v>14</v>
      </c>
      <c r="D106" t="s">
        <v>528</v>
      </c>
      <c r="E106" t="s">
        <v>529</v>
      </c>
      <c r="F106" s="8" t="s">
        <v>530</v>
      </c>
      <c r="G106" s="6">
        <v>31</v>
      </c>
      <c r="H106" t="s">
        <v>531</v>
      </c>
      <c r="I106" t="s">
        <v>532</v>
      </c>
      <c r="J106" s="7">
        <v>4</v>
      </c>
      <c r="K106" t="s">
        <v>533</v>
      </c>
      <c r="L106" s="15">
        <v>45453</v>
      </c>
    </row>
    <row r="107" spans="1:12">
      <c r="A107" s="8">
        <v>106</v>
      </c>
      <c r="B107" t="s">
        <v>422</v>
      </c>
      <c r="C107" t="s">
        <v>115</v>
      </c>
      <c r="D107" t="s">
        <v>534</v>
      </c>
      <c r="E107" t="s">
        <v>535</v>
      </c>
      <c r="F107" s="8" t="s">
        <v>536</v>
      </c>
      <c r="G107" s="6">
        <v>27.2</v>
      </c>
      <c r="H107" t="s">
        <v>537</v>
      </c>
      <c r="I107" t="s">
        <v>538</v>
      </c>
      <c r="J107" s="7">
        <v>4</v>
      </c>
      <c r="L107" s="15">
        <v>45449</v>
      </c>
    </row>
    <row r="108" spans="1:12">
      <c r="A108" s="8">
        <v>107</v>
      </c>
      <c r="B108" t="s">
        <v>47</v>
      </c>
      <c r="C108" t="s">
        <v>14</v>
      </c>
      <c r="D108" t="s">
        <v>539</v>
      </c>
      <c r="E108" t="s">
        <v>540</v>
      </c>
      <c r="F108" s="8" t="s">
        <v>541</v>
      </c>
      <c r="G108">
        <v>32.3</v>
      </c>
      <c r="H108" t="s">
        <v>542</v>
      </c>
      <c r="I108" t="s">
        <v>543</v>
      </c>
      <c r="J108" s="7" t="s">
        <v>144</v>
      </c>
      <c r="K108" t="s">
        <v>145</v>
      </c>
      <c r="L108" s="15">
        <v>45462</v>
      </c>
    </row>
    <row r="109" spans="1:12">
      <c r="A109" s="8">
        <v>108</v>
      </c>
      <c r="B109" t="s">
        <v>544</v>
      </c>
      <c r="C109" t="s">
        <v>21</v>
      </c>
      <c r="D109" t="s">
        <v>545</v>
      </c>
      <c r="E109" t="s">
        <v>546</v>
      </c>
      <c r="F109" s="8" t="s">
        <v>94</v>
      </c>
      <c r="G109" s="6">
        <v>30</v>
      </c>
      <c r="H109" t="s">
        <v>547</v>
      </c>
      <c r="I109" t="s">
        <v>36</v>
      </c>
      <c r="J109" s="7">
        <v>3.5</v>
      </c>
      <c r="L109" s="15">
        <v>45463</v>
      </c>
    </row>
    <row r="110" spans="1:13">
      <c r="A110" s="8">
        <v>109</v>
      </c>
      <c r="B110" t="s">
        <v>548</v>
      </c>
      <c r="C110" t="s">
        <v>14</v>
      </c>
      <c r="D110" t="s">
        <v>549</v>
      </c>
      <c r="E110" t="s">
        <v>550</v>
      </c>
      <c r="F110" s="8" t="s">
        <v>551</v>
      </c>
      <c r="G110" s="13">
        <v>14.3</v>
      </c>
      <c r="H110" t="s">
        <v>35</v>
      </c>
      <c r="I110" t="s">
        <v>552</v>
      </c>
      <c r="J110" s="21" t="s">
        <v>455</v>
      </c>
      <c r="K110" t="s">
        <v>215</v>
      </c>
      <c r="L110" s="15">
        <v>45481</v>
      </c>
      <c r="M110" s="15">
        <v>45819</v>
      </c>
    </row>
    <row r="111" spans="1:12">
      <c r="A111" s="8">
        <v>110</v>
      </c>
      <c r="B111" t="s">
        <v>487</v>
      </c>
      <c r="C111" t="s">
        <v>553</v>
      </c>
      <c r="D111" t="s">
        <v>554</v>
      </c>
      <c r="E111" t="s">
        <v>555</v>
      </c>
      <c r="F111" s="8" t="s">
        <v>45</v>
      </c>
      <c r="G111" s="6">
        <v>33</v>
      </c>
      <c r="H111" t="s">
        <v>556</v>
      </c>
      <c r="I111" t="s">
        <v>557</v>
      </c>
      <c r="J111" s="7" t="s">
        <v>144</v>
      </c>
      <c r="L111" s="15">
        <v>45470</v>
      </c>
    </row>
    <row r="112" spans="1:12">
      <c r="A112" s="8">
        <v>111</v>
      </c>
      <c r="B112" t="s">
        <v>524</v>
      </c>
      <c r="C112" t="s">
        <v>14</v>
      </c>
      <c r="D112" t="s">
        <v>53</v>
      </c>
      <c r="E112" t="s">
        <v>558</v>
      </c>
      <c r="F112" s="8" t="s">
        <v>559</v>
      </c>
      <c r="G112" s="6">
        <v>30</v>
      </c>
      <c r="H112" t="s">
        <v>560</v>
      </c>
      <c r="I112" t="s">
        <v>30</v>
      </c>
      <c r="J112" s="21">
        <v>4.5</v>
      </c>
      <c r="L112" s="15">
        <v>45471</v>
      </c>
    </row>
    <row r="113" spans="1:12">
      <c r="A113" s="8">
        <v>112</v>
      </c>
      <c r="B113" t="s">
        <v>561</v>
      </c>
      <c r="C113" t="s">
        <v>14</v>
      </c>
      <c r="D113" t="s">
        <v>562</v>
      </c>
      <c r="E113" t="s">
        <v>563</v>
      </c>
      <c r="F113" s="8" t="s">
        <v>564</v>
      </c>
      <c r="G113" s="6">
        <v>31.2</v>
      </c>
      <c r="H113" t="s">
        <v>565</v>
      </c>
      <c r="I113" t="s">
        <v>566</v>
      </c>
      <c r="J113" s="7">
        <v>3.5</v>
      </c>
      <c r="K113" t="s">
        <v>567</v>
      </c>
      <c r="L113" s="15">
        <v>45472</v>
      </c>
    </row>
    <row r="114" spans="1:12">
      <c r="A114" s="8">
        <v>113</v>
      </c>
      <c r="B114" t="s">
        <v>568</v>
      </c>
      <c r="C114" t="s">
        <v>553</v>
      </c>
      <c r="D114" t="s">
        <v>569</v>
      </c>
      <c r="E114" t="s">
        <v>570</v>
      </c>
      <c r="F114" s="8" t="s">
        <v>571</v>
      </c>
      <c r="G114" s="14">
        <v>50</v>
      </c>
      <c r="H114" t="s">
        <v>572</v>
      </c>
      <c r="I114" t="s">
        <v>573</v>
      </c>
      <c r="J114" s="7">
        <v>3.5</v>
      </c>
      <c r="L114" s="15">
        <v>45473</v>
      </c>
    </row>
    <row r="115" spans="1:13">
      <c r="A115" s="8">
        <v>114</v>
      </c>
      <c r="B115" t="s">
        <v>548</v>
      </c>
      <c r="C115" t="s">
        <v>14</v>
      </c>
      <c r="D115" t="s">
        <v>158</v>
      </c>
      <c r="E115" t="s">
        <v>574</v>
      </c>
      <c r="F115" s="8" t="s">
        <v>575</v>
      </c>
      <c r="G115" s="13">
        <v>13.2</v>
      </c>
      <c r="H115" t="s">
        <v>576</v>
      </c>
      <c r="I115" t="s">
        <v>577</v>
      </c>
      <c r="J115" s="7" t="s">
        <v>144</v>
      </c>
      <c r="L115" s="15">
        <v>45474</v>
      </c>
      <c r="M115" s="15">
        <v>45549</v>
      </c>
    </row>
    <row r="116" spans="1:12">
      <c r="A116" s="8">
        <v>115</v>
      </c>
      <c r="B116" t="s">
        <v>578</v>
      </c>
      <c r="C116" t="s">
        <v>21</v>
      </c>
      <c r="D116" t="s">
        <v>579</v>
      </c>
      <c r="E116" t="s">
        <v>580</v>
      </c>
      <c r="F116" s="8" t="s">
        <v>219</v>
      </c>
      <c r="G116" s="6">
        <v>25</v>
      </c>
      <c r="H116" t="s">
        <v>581</v>
      </c>
      <c r="I116" t="s">
        <v>582</v>
      </c>
      <c r="J116" s="7">
        <v>4</v>
      </c>
      <c r="L116" s="15">
        <v>45468</v>
      </c>
    </row>
    <row r="117" spans="1:12">
      <c r="A117" s="8">
        <v>116</v>
      </c>
      <c r="B117" t="s">
        <v>91</v>
      </c>
      <c r="C117" t="s">
        <v>21</v>
      </c>
      <c r="D117" t="s">
        <v>583</v>
      </c>
      <c r="E117" t="s">
        <v>584</v>
      </c>
      <c r="F117" s="8" t="s">
        <v>61</v>
      </c>
      <c r="G117" s="6">
        <v>34.4</v>
      </c>
      <c r="H117" t="s">
        <v>585</v>
      </c>
      <c r="I117" t="s">
        <v>586</v>
      </c>
      <c r="J117" s="7">
        <v>4</v>
      </c>
      <c r="K117" t="s">
        <v>587</v>
      </c>
      <c r="L117" s="15">
        <v>46571</v>
      </c>
    </row>
    <row r="118" spans="1:12">
      <c r="A118" s="8">
        <v>117</v>
      </c>
      <c r="B118" t="s">
        <v>64</v>
      </c>
      <c r="C118" t="s">
        <v>21</v>
      </c>
      <c r="D118" t="s">
        <v>588</v>
      </c>
      <c r="E118" t="s">
        <v>589</v>
      </c>
      <c r="F118" s="8" t="s">
        <v>590</v>
      </c>
      <c r="G118" s="6">
        <v>24.2</v>
      </c>
      <c r="H118" t="s">
        <v>185</v>
      </c>
      <c r="I118" t="s">
        <v>591</v>
      </c>
      <c r="J118" s="17">
        <v>2.5</v>
      </c>
      <c r="L118" s="15">
        <v>45483</v>
      </c>
    </row>
    <row r="119" spans="1:12">
      <c r="A119" s="8">
        <v>118</v>
      </c>
      <c r="B119" t="s">
        <v>473</v>
      </c>
      <c r="C119" t="s">
        <v>14</v>
      </c>
      <c r="D119" t="s">
        <v>592</v>
      </c>
      <c r="E119" t="s">
        <v>593</v>
      </c>
      <c r="F119" s="8" t="s">
        <v>594</v>
      </c>
      <c r="G119" s="14">
        <v>90.6</v>
      </c>
      <c r="H119" t="s">
        <v>595</v>
      </c>
      <c r="I119" t="s">
        <v>596</v>
      </c>
      <c r="J119" s="21">
        <v>4.5</v>
      </c>
      <c r="L119" s="15">
        <v>45483</v>
      </c>
    </row>
    <row r="120" spans="1:13">
      <c r="A120" s="8">
        <v>119</v>
      </c>
      <c r="B120" t="s">
        <v>597</v>
      </c>
      <c r="C120" t="s">
        <v>14</v>
      </c>
      <c r="D120" t="s">
        <v>598</v>
      </c>
      <c r="E120" t="s">
        <v>599</v>
      </c>
      <c r="F120" s="8" t="s">
        <v>600</v>
      </c>
      <c r="G120" s="6">
        <v>28.8</v>
      </c>
      <c r="H120" t="s">
        <v>601</v>
      </c>
      <c r="I120" t="s">
        <v>602</v>
      </c>
      <c r="J120" s="20" t="s">
        <v>603</v>
      </c>
      <c r="L120" s="15">
        <v>45483</v>
      </c>
      <c r="M120" s="15">
        <v>45819</v>
      </c>
    </row>
    <row r="121" spans="1:12">
      <c r="A121" s="8">
        <v>120</v>
      </c>
      <c r="B121" t="s">
        <v>438</v>
      </c>
      <c r="C121" t="s">
        <v>21</v>
      </c>
      <c r="D121" t="s">
        <v>604</v>
      </c>
      <c r="E121" t="s">
        <v>605</v>
      </c>
      <c r="F121" s="8" t="s">
        <v>441</v>
      </c>
      <c r="G121" s="13">
        <v>18.3</v>
      </c>
      <c r="H121" t="s">
        <v>606</v>
      </c>
      <c r="I121" t="s">
        <v>607</v>
      </c>
      <c r="J121" s="7" t="s">
        <v>144</v>
      </c>
      <c r="L121" s="15">
        <v>45483</v>
      </c>
    </row>
    <row r="122" spans="1:12">
      <c r="A122" s="8">
        <v>121</v>
      </c>
      <c r="B122" t="s">
        <v>139</v>
      </c>
      <c r="C122" t="s">
        <v>21</v>
      </c>
      <c r="D122" t="s">
        <v>608</v>
      </c>
      <c r="E122" t="s">
        <v>609</v>
      </c>
      <c r="F122" s="8" t="s">
        <v>610</v>
      </c>
      <c r="G122" s="6">
        <v>23.6</v>
      </c>
      <c r="H122" t="s">
        <v>611</v>
      </c>
      <c r="I122" t="s">
        <v>612</v>
      </c>
      <c r="J122" s="7" t="s">
        <v>144</v>
      </c>
      <c r="L122" s="15">
        <v>45485</v>
      </c>
    </row>
    <row r="123" spans="1:12">
      <c r="A123" s="8">
        <v>122</v>
      </c>
      <c r="B123" t="s">
        <v>91</v>
      </c>
      <c r="C123" t="s">
        <v>21</v>
      </c>
      <c r="D123" t="s">
        <v>613</v>
      </c>
      <c r="E123" t="s">
        <v>614</v>
      </c>
      <c r="F123" s="8" t="s">
        <v>564</v>
      </c>
      <c r="G123" s="6">
        <v>39</v>
      </c>
      <c r="H123" t="s">
        <v>615</v>
      </c>
      <c r="I123" t="s">
        <v>351</v>
      </c>
      <c r="J123" s="21">
        <v>4.5</v>
      </c>
      <c r="L123" s="15">
        <v>45485</v>
      </c>
    </row>
    <row r="124" spans="1:12">
      <c r="A124" s="8">
        <v>123</v>
      </c>
      <c r="B124" t="s">
        <v>25</v>
      </c>
      <c r="C124" t="s">
        <v>21</v>
      </c>
      <c r="D124" t="s">
        <v>616</v>
      </c>
      <c r="E124" t="s">
        <v>617</v>
      </c>
      <c r="F124" s="8" t="s">
        <v>618</v>
      </c>
      <c r="G124" s="6">
        <v>21.6</v>
      </c>
      <c r="H124" t="s">
        <v>619</v>
      </c>
      <c r="I124" t="s">
        <v>620</v>
      </c>
      <c r="J124" s="7">
        <v>3.5</v>
      </c>
      <c r="K124" t="s">
        <v>145</v>
      </c>
      <c r="L124" s="15">
        <v>45485</v>
      </c>
    </row>
    <row r="125" spans="1:12">
      <c r="A125" s="8">
        <v>124</v>
      </c>
      <c r="B125" t="s">
        <v>133</v>
      </c>
      <c r="C125" t="s">
        <v>14</v>
      </c>
      <c r="D125" t="s">
        <v>621</v>
      </c>
      <c r="E125" t="s">
        <v>622</v>
      </c>
      <c r="F125" s="8" t="s">
        <v>505</v>
      </c>
      <c r="G125" s="6">
        <v>33.5</v>
      </c>
      <c r="H125" t="s">
        <v>416</v>
      </c>
      <c r="I125" t="s">
        <v>623</v>
      </c>
      <c r="J125" s="17">
        <v>3</v>
      </c>
      <c r="K125" t="s">
        <v>533</v>
      </c>
      <c r="L125" s="15">
        <v>45485</v>
      </c>
    </row>
    <row r="126" spans="1:12">
      <c r="A126" s="8">
        <v>125</v>
      </c>
      <c r="B126" t="s">
        <v>624</v>
      </c>
      <c r="C126" t="s">
        <v>390</v>
      </c>
      <c r="D126" t="s">
        <v>625</v>
      </c>
      <c r="E126" t="s">
        <v>626</v>
      </c>
      <c r="F126" s="8" t="s">
        <v>516</v>
      </c>
      <c r="G126" s="6" t="s">
        <v>516</v>
      </c>
      <c r="H126" t="s">
        <v>627</v>
      </c>
      <c r="I126" t="s">
        <v>607</v>
      </c>
      <c r="J126" s="21">
        <v>5</v>
      </c>
      <c r="K126" t="s">
        <v>628</v>
      </c>
      <c r="L126" s="15">
        <v>45489</v>
      </c>
    </row>
    <row r="127" spans="1:12">
      <c r="A127" s="8">
        <v>126</v>
      </c>
      <c r="B127" t="s">
        <v>37</v>
      </c>
      <c r="C127" t="s">
        <v>14</v>
      </c>
      <c r="D127" t="s">
        <v>629</v>
      </c>
      <c r="E127" t="s">
        <v>630</v>
      </c>
      <c r="F127" s="8" t="s">
        <v>349</v>
      </c>
      <c r="G127" s="6">
        <v>34.5</v>
      </c>
      <c r="H127" t="s">
        <v>627</v>
      </c>
      <c r="I127" t="s">
        <v>631</v>
      </c>
      <c r="J127" s="7" t="s">
        <v>144</v>
      </c>
      <c r="L127" s="15">
        <v>45489</v>
      </c>
    </row>
    <row r="128" spans="1:12">
      <c r="A128" s="8">
        <v>127</v>
      </c>
      <c r="B128" t="s">
        <v>473</v>
      </c>
      <c r="C128" t="s">
        <v>14</v>
      </c>
      <c r="D128" t="s">
        <v>632</v>
      </c>
      <c r="E128" t="s">
        <v>633</v>
      </c>
      <c r="F128" s="8" t="s">
        <v>634</v>
      </c>
      <c r="G128" s="6">
        <v>47.6</v>
      </c>
      <c r="H128" t="s">
        <v>344</v>
      </c>
      <c r="I128" t="s">
        <v>635</v>
      </c>
      <c r="J128" s="7" t="s">
        <v>144</v>
      </c>
      <c r="L128" s="15">
        <v>45489</v>
      </c>
    </row>
    <row r="129" spans="1:12">
      <c r="A129" s="8">
        <v>128</v>
      </c>
      <c r="B129" t="s">
        <v>636</v>
      </c>
      <c r="C129" t="s">
        <v>21</v>
      </c>
      <c r="D129" t="s">
        <v>637</v>
      </c>
      <c r="E129" t="s">
        <v>638</v>
      </c>
      <c r="F129" s="8" t="s">
        <v>639</v>
      </c>
      <c r="G129" s="6">
        <v>36.5</v>
      </c>
      <c r="H129" t="s">
        <v>640</v>
      </c>
      <c r="I129" t="s">
        <v>641</v>
      </c>
      <c r="J129" s="7">
        <v>4</v>
      </c>
      <c r="L129" s="15">
        <v>45489</v>
      </c>
    </row>
    <row r="130" spans="1:12">
      <c r="A130" s="8">
        <v>129</v>
      </c>
      <c r="B130" t="s">
        <v>642</v>
      </c>
      <c r="C130" t="s">
        <v>21</v>
      </c>
      <c r="D130" t="s">
        <v>643</v>
      </c>
      <c r="E130" t="s">
        <v>644</v>
      </c>
      <c r="F130" s="8" t="s">
        <v>645</v>
      </c>
      <c r="G130" s="6">
        <v>42.5</v>
      </c>
      <c r="H130" t="s">
        <v>646</v>
      </c>
      <c r="I130" t="s">
        <v>647</v>
      </c>
      <c r="J130" s="21">
        <v>4.5</v>
      </c>
      <c r="L130" s="15">
        <v>45497</v>
      </c>
    </row>
    <row r="131" spans="1:12">
      <c r="A131" s="8">
        <v>130</v>
      </c>
      <c r="B131" t="s">
        <v>139</v>
      </c>
      <c r="C131" t="s">
        <v>21</v>
      </c>
      <c r="D131" t="s">
        <v>648</v>
      </c>
      <c r="E131" t="s">
        <v>649</v>
      </c>
      <c r="F131" s="8" t="s">
        <v>650</v>
      </c>
      <c r="G131" s="13">
        <v>13</v>
      </c>
      <c r="H131" t="s">
        <v>651</v>
      </c>
      <c r="I131" t="s">
        <v>652</v>
      </c>
      <c r="J131" s="7">
        <v>4</v>
      </c>
      <c r="K131" t="s">
        <v>215</v>
      </c>
      <c r="L131" s="15">
        <v>45497</v>
      </c>
    </row>
    <row r="132" spans="1:12">
      <c r="A132" s="8">
        <v>131</v>
      </c>
      <c r="B132" t="s">
        <v>85</v>
      </c>
      <c r="C132" t="s">
        <v>21</v>
      </c>
      <c r="D132" t="s">
        <v>653</v>
      </c>
      <c r="E132" t="s">
        <v>654</v>
      </c>
      <c r="F132" s="8" t="s">
        <v>155</v>
      </c>
      <c r="G132" s="6">
        <v>42.5</v>
      </c>
      <c r="H132" t="s">
        <v>655</v>
      </c>
      <c r="I132" t="s">
        <v>656</v>
      </c>
      <c r="J132" s="21">
        <v>5</v>
      </c>
      <c r="L132" s="15">
        <v>45497</v>
      </c>
    </row>
    <row r="133" spans="1:12">
      <c r="A133" s="8">
        <v>132</v>
      </c>
      <c r="B133" t="s">
        <v>657</v>
      </c>
      <c r="C133" t="s">
        <v>21</v>
      </c>
      <c r="D133" t="s">
        <v>658</v>
      </c>
      <c r="E133" t="s">
        <v>77</v>
      </c>
      <c r="F133" s="8" t="s">
        <v>268</v>
      </c>
      <c r="G133" s="6">
        <v>31.6</v>
      </c>
      <c r="H133" t="s">
        <v>659</v>
      </c>
      <c r="I133" t="s">
        <v>660</v>
      </c>
      <c r="J133" s="18" t="s">
        <v>152</v>
      </c>
      <c r="L133" s="15">
        <v>45497</v>
      </c>
    </row>
    <row r="134" spans="1:12">
      <c r="A134" s="8">
        <v>133</v>
      </c>
      <c r="B134" t="s">
        <v>122</v>
      </c>
      <c r="C134" t="s">
        <v>14</v>
      </c>
      <c r="D134" t="s">
        <v>661</v>
      </c>
      <c r="E134" t="s">
        <v>662</v>
      </c>
      <c r="F134" t="s">
        <v>415</v>
      </c>
      <c r="G134" s="6">
        <v>38.7</v>
      </c>
      <c r="H134" t="s">
        <v>663</v>
      </c>
      <c r="I134" t="s">
        <v>664</v>
      </c>
      <c r="J134" s="7" t="s">
        <v>144</v>
      </c>
      <c r="K134" t="s">
        <v>665</v>
      </c>
      <c r="L134" s="15">
        <v>45501</v>
      </c>
    </row>
    <row r="135" spans="1:12">
      <c r="A135" s="8">
        <v>134</v>
      </c>
      <c r="B135" t="s">
        <v>666</v>
      </c>
      <c r="C135" t="s">
        <v>667</v>
      </c>
      <c r="D135" t="s">
        <v>668</v>
      </c>
      <c r="E135" t="s">
        <v>669</v>
      </c>
      <c r="F135" s="8" t="s">
        <v>670</v>
      </c>
      <c r="G135" s="13">
        <v>15</v>
      </c>
      <c r="H135" t="s">
        <v>659</v>
      </c>
      <c r="I135" t="s">
        <v>671</v>
      </c>
      <c r="J135" s="17">
        <v>2.5</v>
      </c>
      <c r="L135" s="15">
        <v>45501</v>
      </c>
    </row>
    <row r="136" spans="1:12">
      <c r="A136" s="8">
        <v>135</v>
      </c>
      <c r="B136" t="s">
        <v>133</v>
      </c>
      <c r="C136" t="s">
        <v>21</v>
      </c>
      <c r="D136" t="s">
        <v>672</v>
      </c>
      <c r="E136" t="s">
        <v>673</v>
      </c>
      <c r="F136" s="8" t="s">
        <v>674</v>
      </c>
      <c r="G136" s="6">
        <v>34.8</v>
      </c>
      <c r="H136" t="s">
        <v>416</v>
      </c>
      <c r="I136" t="s">
        <v>675</v>
      </c>
      <c r="J136" s="7">
        <v>3.5</v>
      </c>
      <c r="L136" s="15">
        <v>45501</v>
      </c>
    </row>
    <row r="137" spans="1:12">
      <c r="A137" s="8">
        <v>136</v>
      </c>
      <c r="B137" t="s">
        <v>85</v>
      </c>
      <c r="C137" t="s">
        <v>21</v>
      </c>
      <c r="D137" t="s">
        <v>676</v>
      </c>
      <c r="E137" t="s">
        <v>677</v>
      </c>
      <c r="F137" s="8" t="s">
        <v>678</v>
      </c>
      <c r="G137" s="6">
        <v>48.4</v>
      </c>
      <c r="H137" t="s">
        <v>416</v>
      </c>
      <c r="I137" t="s">
        <v>679</v>
      </c>
      <c r="J137" s="7">
        <v>4</v>
      </c>
      <c r="K137" t="s">
        <v>680</v>
      </c>
      <c r="L137" s="15">
        <v>45501</v>
      </c>
    </row>
    <row r="138" spans="1:12">
      <c r="A138" s="8">
        <v>137</v>
      </c>
      <c r="B138" t="s">
        <v>91</v>
      </c>
      <c r="C138" t="s">
        <v>21</v>
      </c>
      <c r="D138" t="s">
        <v>681</v>
      </c>
      <c r="E138" t="s">
        <v>682</v>
      </c>
      <c r="F138" s="8" t="s">
        <v>683</v>
      </c>
      <c r="G138" s="6">
        <v>30.4</v>
      </c>
      <c r="H138" t="s">
        <v>684</v>
      </c>
      <c r="I138" t="s">
        <v>685</v>
      </c>
      <c r="J138" s="7">
        <v>4</v>
      </c>
      <c r="L138" s="15">
        <v>45512</v>
      </c>
    </row>
    <row r="139" spans="1:13">
      <c r="A139" s="8">
        <v>138</v>
      </c>
      <c r="B139" t="s">
        <v>548</v>
      </c>
      <c r="C139" t="s">
        <v>14</v>
      </c>
      <c r="D139" t="s">
        <v>53</v>
      </c>
      <c r="E139" t="s">
        <v>686</v>
      </c>
      <c r="F139" s="8" t="s">
        <v>687</v>
      </c>
      <c r="G139" s="13">
        <f>63.9/4</f>
        <v>15.975</v>
      </c>
      <c r="H139" t="s">
        <v>688</v>
      </c>
      <c r="I139" t="s">
        <v>689</v>
      </c>
      <c r="J139" s="7" t="s">
        <v>144</v>
      </c>
      <c r="K139" t="s">
        <v>215</v>
      </c>
      <c r="L139" s="15">
        <v>45512</v>
      </c>
      <c r="M139" s="15">
        <v>45852</v>
      </c>
    </row>
    <row r="140" spans="1:12">
      <c r="A140" s="8">
        <v>139</v>
      </c>
      <c r="B140" t="s">
        <v>690</v>
      </c>
      <c r="C140" t="s">
        <v>14</v>
      </c>
      <c r="D140" t="s">
        <v>53</v>
      </c>
      <c r="E140" t="s">
        <v>691</v>
      </c>
      <c r="F140" s="8" t="s">
        <v>692</v>
      </c>
      <c r="G140" s="6">
        <v>30.8</v>
      </c>
      <c r="H140" t="s">
        <v>24</v>
      </c>
      <c r="I140" t="s">
        <v>693</v>
      </c>
      <c r="J140" s="17">
        <v>3</v>
      </c>
      <c r="L140" s="15">
        <v>45512</v>
      </c>
    </row>
    <row r="141" spans="1:12">
      <c r="A141" s="8">
        <v>140</v>
      </c>
      <c r="B141" t="s">
        <v>694</v>
      </c>
      <c r="C141" t="s">
        <v>14</v>
      </c>
      <c r="D141" t="s">
        <v>695</v>
      </c>
      <c r="E141" t="s">
        <v>696</v>
      </c>
      <c r="F141" s="8" t="s">
        <v>697</v>
      </c>
      <c r="G141" s="14">
        <v>60</v>
      </c>
      <c r="H141" t="s">
        <v>41</v>
      </c>
      <c r="I141" t="s">
        <v>698</v>
      </c>
      <c r="J141" s="7" t="s">
        <v>20</v>
      </c>
      <c r="K141" t="s">
        <v>145</v>
      </c>
      <c r="L141" s="15">
        <v>45512</v>
      </c>
    </row>
    <row r="142" spans="1:12">
      <c r="A142" s="8">
        <v>141</v>
      </c>
      <c r="B142" t="s">
        <v>85</v>
      </c>
      <c r="C142" t="s">
        <v>21</v>
      </c>
      <c r="D142" t="s">
        <v>699</v>
      </c>
      <c r="E142" t="s">
        <v>700</v>
      </c>
      <c r="F142" s="8" t="s">
        <v>701</v>
      </c>
      <c r="G142" s="14">
        <v>59.2</v>
      </c>
      <c r="H142" t="s">
        <v>416</v>
      </c>
      <c r="I142" t="s">
        <v>702</v>
      </c>
      <c r="J142" s="7">
        <v>4</v>
      </c>
      <c r="L142" s="15">
        <v>45514</v>
      </c>
    </row>
    <row r="143" spans="1:12">
      <c r="A143" s="8">
        <v>142</v>
      </c>
      <c r="B143" t="s">
        <v>703</v>
      </c>
      <c r="C143" t="s">
        <v>21</v>
      </c>
      <c r="D143" t="s">
        <v>704</v>
      </c>
      <c r="E143" t="s">
        <v>705</v>
      </c>
      <c r="F143" s="8" t="s">
        <v>706</v>
      </c>
      <c r="G143" s="6">
        <v>49</v>
      </c>
      <c r="H143" t="s">
        <v>259</v>
      </c>
      <c r="I143" t="s">
        <v>707</v>
      </c>
      <c r="J143" s="7">
        <v>3.5</v>
      </c>
      <c r="K143" t="s">
        <v>708</v>
      </c>
      <c r="L143" s="15">
        <v>45514</v>
      </c>
    </row>
    <row r="144" spans="1:12">
      <c r="A144" s="8">
        <v>143</v>
      </c>
      <c r="B144" t="s">
        <v>624</v>
      </c>
      <c r="C144" t="s">
        <v>21</v>
      </c>
      <c r="D144" t="s">
        <v>709</v>
      </c>
      <c r="E144" t="s">
        <v>710</v>
      </c>
      <c r="F144" s="8" t="s">
        <v>516</v>
      </c>
      <c r="G144" s="6" t="s">
        <v>516</v>
      </c>
      <c r="H144" t="s">
        <v>711</v>
      </c>
      <c r="I144" t="s">
        <v>712</v>
      </c>
      <c r="J144" s="21">
        <v>4.5</v>
      </c>
      <c r="K144" t="s">
        <v>145</v>
      </c>
      <c r="L144" s="15">
        <v>45514</v>
      </c>
    </row>
    <row r="145" spans="1:12">
      <c r="A145" s="8">
        <v>144</v>
      </c>
      <c r="B145" t="s">
        <v>548</v>
      </c>
      <c r="C145" t="s">
        <v>21</v>
      </c>
      <c r="D145" t="s">
        <v>713</v>
      </c>
      <c r="E145" t="s">
        <v>714</v>
      </c>
      <c r="F145" s="8" t="s">
        <v>715</v>
      </c>
      <c r="G145" s="13">
        <v>15.8</v>
      </c>
      <c r="H145" t="s">
        <v>716</v>
      </c>
      <c r="I145" t="s">
        <v>36</v>
      </c>
      <c r="J145" s="7">
        <v>4</v>
      </c>
      <c r="K145" t="s">
        <v>145</v>
      </c>
      <c r="L145" s="15">
        <v>45514</v>
      </c>
    </row>
    <row r="146" spans="1:12">
      <c r="A146" s="8">
        <v>145</v>
      </c>
      <c r="B146" t="s">
        <v>37</v>
      </c>
      <c r="C146" t="s">
        <v>21</v>
      </c>
      <c r="D146" t="s">
        <v>717</v>
      </c>
      <c r="E146" t="s">
        <v>718</v>
      </c>
      <c r="F146" s="8" t="s">
        <v>719</v>
      </c>
      <c r="G146" s="6">
        <v>26</v>
      </c>
      <c r="H146" t="s">
        <v>720</v>
      </c>
      <c r="I146" t="s">
        <v>465</v>
      </c>
      <c r="J146" s="17">
        <v>3</v>
      </c>
      <c r="L146" s="15">
        <v>45526</v>
      </c>
    </row>
    <row r="147" spans="1:12">
      <c r="A147" s="8">
        <v>146</v>
      </c>
      <c r="B147" t="s">
        <v>85</v>
      </c>
      <c r="C147" t="s">
        <v>721</v>
      </c>
      <c r="D147" t="s">
        <v>722</v>
      </c>
      <c r="E147" t="s">
        <v>723</v>
      </c>
      <c r="F147" s="8" t="s">
        <v>724</v>
      </c>
      <c r="G147" s="6">
        <v>38.4</v>
      </c>
      <c r="H147" t="s">
        <v>725</v>
      </c>
      <c r="I147" t="s">
        <v>726</v>
      </c>
      <c r="J147" s="7">
        <v>3.5</v>
      </c>
      <c r="L147" s="15">
        <v>45526</v>
      </c>
    </row>
    <row r="148" spans="1:12">
      <c r="A148" s="8">
        <v>147</v>
      </c>
      <c r="B148" t="s">
        <v>727</v>
      </c>
      <c r="C148" t="s">
        <v>21</v>
      </c>
      <c r="D148" t="s">
        <v>728</v>
      </c>
      <c r="E148" t="s">
        <v>729</v>
      </c>
      <c r="F148" s="8" t="s">
        <v>730</v>
      </c>
      <c r="G148" s="6">
        <v>21.2</v>
      </c>
      <c r="H148" t="s">
        <v>731</v>
      </c>
      <c r="I148" t="s">
        <v>712</v>
      </c>
      <c r="J148" s="7" t="s">
        <v>144</v>
      </c>
      <c r="L148" s="15">
        <v>45526</v>
      </c>
    </row>
    <row r="149" spans="1:12">
      <c r="A149" s="8">
        <v>148</v>
      </c>
      <c r="B149" t="s">
        <v>548</v>
      </c>
      <c r="C149" t="s">
        <v>21</v>
      </c>
      <c r="D149" t="s">
        <v>732</v>
      </c>
      <c r="E149" t="s">
        <v>733</v>
      </c>
      <c r="F149" s="8" t="s">
        <v>734</v>
      </c>
      <c r="G149" s="13">
        <v>17</v>
      </c>
      <c r="H149" t="s">
        <v>735</v>
      </c>
      <c r="I149" t="s">
        <v>36</v>
      </c>
      <c r="J149" s="7">
        <v>4</v>
      </c>
      <c r="L149" s="15">
        <v>45526</v>
      </c>
    </row>
    <row r="150" spans="1:12">
      <c r="A150" s="8">
        <v>149</v>
      </c>
      <c r="B150" t="s">
        <v>473</v>
      </c>
      <c r="C150" t="s">
        <v>21</v>
      </c>
      <c r="D150" t="s">
        <v>736</v>
      </c>
      <c r="E150" t="s">
        <v>737</v>
      </c>
      <c r="F150" s="8" t="s">
        <v>738</v>
      </c>
      <c r="G150" s="14">
        <v>69.6</v>
      </c>
      <c r="H150" t="s">
        <v>739</v>
      </c>
      <c r="I150" t="s">
        <v>404</v>
      </c>
      <c r="J150" s="21">
        <v>5</v>
      </c>
      <c r="L150" s="15">
        <v>45525</v>
      </c>
    </row>
    <row r="151" spans="1:12">
      <c r="A151" s="8">
        <v>150</v>
      </c>
      <c r="B151" t="s">
        <v>283</v>
      </c>
      <c r="C151" t="s">
        <v>115</v>
      </c>
      <c r="D151" t="s">
        <v>740</v>
      </c>
      <c r="E151" t="s">
        <v>741</v>
      </c>
      <c r="F151" s="8" t="s">
        <v>210</v>
      </c>
      <c r="G151" s="6">
        <v>25.6</v>
      </c>
      <c r="H151" t="s">
        <v>742</v>
      </c>
      <c r="I151" t="s">
        <v>743</v>
      </c>
      <c r="J151" s="7">
        <v>4</v>
      </c>
      <c r="L151" s="15">
        <v>45890</v>
      </c>
    </row>
    <row r="152" spans="1:12">
      <c r="A152" s="8">
        <v>151</v>
      </c>
      <c r="B152" t="s">
        <v>198</v>
      </c>
      <c r="C152" t="s">
        <v>21</v>
      </c>
      <c r="D152" t="s">
        <v>744</v>
      </c>
      <c r="E152" t="s">
        <v>745</v>
      </c>
      <c r="F152" s="8" t="s">
        <v>746</v>
      </c>
      <c r="G152" s="13">
        <v>19.4</v>
      </c>
      <c r="H152" t="s">
        <v>747</v>
      </c>
      <c r="I152" t="s">
        <v>748</v>
      </c>
      <c r="J152" s="17">
        <v>3</v>
      </c>
      <c r="L152" s="15">
        <v>45890</v>
      </c>
    </row>
    <row r="153" spans="1:12">
      <c r="A153" s="8">
        <v>152</v>
      </c>
      <c r="B153" t="s">
        <v>133</v>
      </c>
      <c r="C153" t="s">
        <v>21</v>
      </c>
      <c r="D153" t="s">
        <v>749</v>
      </c>
      <c r="E153" t="s">
        <v>750</v>
      </c>
      <c r="F153" s="8" t="s">
        <v>751</v>
      </c>
      <c r="G153" s="6">
        <v>30.4</v>
      </c>
      <c r="H153" t="s">
        <v>89</v>
      </c>
      <c r="I153" t="s">
        <v>752</v>
      </c>
      <c r="J153" s="18" t="s">
        <v>152</v>
      </c>
      <c r="L153" s="15">
        <v>45890</v>
      </c>
    </row>
    <row r="154" spans="1:12">
      <c r="A154" s="8">
        <v>153</v>
      </c>
      <c r="B154" t="s">
        <v>753</v>
      </c>
      <c r="C154" t="s">
        <v>14</v>
      </c>
      <c r="D154" t="s">
        <v>754</v>
      </c>
      <c r="E154" t="s">
        <v>755</v>
      </c>
      <c r="F154" s="8" t="s">
        <v>756</v>
      </c>
      <c r="G154" s="14">
        <v>50.2</v>
      </c>
      <c r="H154" t="s">
        <v>757</v>
      </c>
      <c r="I154" t="s">
        <v>758</v>
      </c>
      <c r="J154" s="17">
        <v>2.5</v>
      </c>
      <c r="L154" s="15">
        <v>45533</v>
      </c>
    </row>
    <row r="155" spans="1:12">
      <c r="A155" s="8">
        <v>154</v>
      </c>
      <c r="B155" t="s">
        <v>310</v>
      </c>
      <c r="C155" t="s">
        <v>21</v>
      </c>
      <c r="D155" t="s">
        <v>759</v>
      </c>
      <c r="E155" t="s">
        <v>760</v>
      </c>
      <c r="F155" s="8" t="s">
        <v>761</v>
      </c>
      <c r="G155" s="6">
        <v>44</v>
      </c>
      <c r="H155" t="s">
        <v>416</v>
      </c>
      <c r="I155" t="s">
        <v>762</v>
      </c>
      <c r="J155" s="17">
        <v>3</v>
      </c>
      <c r="L155" s="15">
        <v>45533</v>
      </c>
    </row>
    <row r="156" spans="1:12">
      <c r="A156" s="8">
        <v>155</v>
      </c>
      <c r="B156" t="s">
        <v>473</v>
      </c>
      <c r="C156" t="s">
        <v>21</v>
      </c>
      <c r="D156" t="s">
        <v>763</v>
      </c>
      <c r="E156" t="s">
        <v>764</v>
      </c>
      <c r="F156" s="8" t="s">
        <v>751</v>
      </c>
      <c r="G156" s="6">
        <v>30.4</v>
      </c>
      <c r="H156" t="s">
        <v>765</v>
      </c>
      <c r="I156" t="s">
        <v>404</v>
      </c>
      <c r="J156" s="7" t="s">
        <v>144</v>
      </c>
      <c r="K156" t="s">
        <v>766</v>
      </c>
      <c r="L156" s="15">
        <v>45533</v>
      </c>
    </row>
    <row r="157" spans="1:12">
      <c r="A157" s="8">
        <v>156</v>
      </c>
      <c r="B157" t="s">
        <v>335</v>
      </c>
      <c r="C157" t="s">
        <v>21</v>
      </c>
      <c r="D157" t="s">
        <v>767</v>
      </c>
      <c r="E157" t="s">
        <v>768</v>
      </c>
      <c r="F157" s="8" t="s">
        <v>769</v>
      </c>
      <c r="G157" s="13">
        <v>13.8</v>
      </c>
      <c r="H157" t="s">
        <v>770</v>
      </c>
      <c r="I157" t="s">
        <v>297</v>
      </c>
      <c r="J157" s="17">
        <v>3</v>
      </c>
      <c r="L157" s="15">
        <v>45533</v>
      </c>
    </row>
    <row r="158" spans="1:12">
      <c r="A158" s="8">
        <v>157</v>
      </c>
      <c r="B158" t="s">
        <v>771</v>
      </c>
      <c r="C158" t="s">
        <v>21</v>
      </c>
      <c r="D158" t="s">
        <v>772</v>
      </c>
      <c r="E158" t="s">
        <v>773</v>
      </c>
      <c r="F158" s="8" t="s">
        <v>516</v>
      </c>
      <c r="G158" s="6" t="s">
        <v>516</v>
      </c>
      <c r="H158" t="s">
        <v>774</v>
      </c>
      <c r="I158" t="s">
        <v>775</v>
      </c>
      <c r="J158" s="7" t="s">
        <v>144</v>
      </c>
      <c r="K158" t="s">
        <v>567</v>
      </c>
      <c r="L158" s="15">
        <v>45537</v>
      </c>
    </row>
    <row r="159" spans="1:12">
      <c r="A159" s="8">
        <v>158</v>
      </c>
      <c r="B159" t="s">
        <v>37</v>
      </c>
      <c r="C159" t="s">
        <v>14</v>
      </c>
      <c r="D159" t="s">
        <v>776</v>
      </c>
      <c r="E159" t="s">
        <v>777</v>
      </c>
      <c r="F159" s="8" t="s">
        <v>366</v>
      </c>
      <c r="G159" s="6">
        <v>36.5</v>
      </c>
      <c r="H159" t="s">
        <v>778</v>
      </c>
      <c r="I159" t="s">
        <v>779</v>
      </c>
      <c r="J159" s="7">
        <v>4</v>
      </c>
      <c r="L159" s="15">
        <v>45537</v>
      </c>
    </row>
    <row r="160" spans="1:12">
      <c r="A160" s="8">
        <v>159</v>
      </c>
      <c r="B160" t="s">
        <v>780</v>
      </c>
      <c r="C160" t="s">
        <v>14</v>
      </c>
      <c r="D160" t="s">
        <v>781</v>
      </c>
      <c r="E160" t="s">
        <v>782</v>
      </c>
      <c r="F160" s="8" t="s">
        <v>783</v>
      </c>
      <c r="G160" s="6">
        <v>24.7</v>
      </c>
      <c r="H160" t="s">
        <v>784</v>
      </c>
      <c r="I160" t="s">
        <v>389</v>
      </c>
      <c r="J160" s="7" t="s">
        <v>144</v>
      </c>
      <c r="L160" s="15">
        <v>45537</v>
      </c>
    </row>
    <row r="161" spans="1:12">
      <c r="A161" s="8">
        <v>160</v>
      </c>
      <c r="B161" t="s">
        <v>694</v>
      </c>
      <c r="C161" t="s">
        <v>21</v>
      </c>
      <c r="D161" t="s">
        <v>785</v>
      </c>
      <c r="E161" t="s">
        <v>786</v>
      </c>
      <c r="F161" s="8" t="s">
        <v>787</v>
      </c>
      <c r="G161" s="14">
        <v>55.6</v>
      </c>
      <c r="H161" t="s">
        <v>788</v>
      </c>
      <c r="I161" t="s">
        <v>789</v>
      </c>
      <c r="J161" s="7" t="s">
        <v>790</v>
      </c>
      <c r="L161" s="15">
        <v>45537</v>
      </c>
    </row>
    <row r="162" spans="1:12">
      <c r="A162" s="8">
        <v>161</v>
      </c>
      <c r="B162" t="s">
        <v>791</v>
      </c>
      <c r="C162" t="s">
        <v>14</v>
      </c>
      <c r="D162" t="s">
        <v>792</v>
      </c>
      <c r="E162" t="s">
        <v>793</v>
      </c>
      <c r="F162" s="8" t="s">
        <v>794</v>
      </c>
      <c r="G162" s="6">
        <v>39.2</v>
      </c>
      <c r="H162" t="s">
        <v>795</v>
      </c>
      <c r="I162" t="s">
        <v>796</v>
      </c>
      <c r="J162" s="7" t="s">
        <v>144</v>
      </c>
      <c r="L162" s="15">
        <v>45541</v>
      </c>
    </row>
    <row r="163" spans="1:12">
      <c r="A163" s="8">
        <v>162</v>
      </c>
      <c r="B163" t="s">
        <v>642</v>
      </c>
      <c r="C163" t="s">
        <v>21</v>
      </c>
      <c r="D163" t="s">
        <v>797</v>
      </c>
      <c r="E163" t="s">
        <v>798</v>
      </c>
      <c r="F163" s="8" t="s">
        <v>799</v>
      </c>
      <c r="G163" s="6">
        <v>47.5</v>
      </c>
      <c r="H163" t="s">
        <v>800</v>
      </c>
      <c r="I163" t="s">
        <v>801</v>
      </c>
      <c r="J163" s="7">
        <v>3.5</v>
      </c>
      <c r="K163" t="s">
        <v>802</v>
      </c>
      <c r="L163" s="15">
        <v>45541</v>
      </c>
    </row>
    <row r="164" spans="1:12">
      <c r="A164" s="8">
        <v>163</v>
      </c>
      <c r="B164" t="s">
        <v>803</v>
      </c>
      <c r="C164" t="s">
        <v>14</v>
      </c>
      <c r="D164" t="s">
        <v>804</v>
      </c>
      <c r="E164" t="s">
        <v>805</v>
      </c>
      <c r="F164" s="8" t="s">
        <v>806</v>
      </c>
      <c r="G164" s="6">
        <v>32</v>
      </c>
      <c r="H164" t="s">
        <v>807</v>
      </c>
      <c r="I164" t="s">
        <v>351</v>
      </c>
      <c r="J164" s="21">
        <v>4.5</v>
      </c>
      <c r="K164" t="s">
        <v>567</v>
      </c>
      <c r="L164" s="15">
        <v>45541</v>
      </c>
    </row>
    <row r="165" spans="1:12">
      <c r="A165" s="8">
        <v>164</v>
      </c>
      <c r="B165" t="s">
        <v>597</v>
      </c>
      <c r="C165" t="s">
        <v>14</v>
      </c>
      <c r="D165" t="s">
        <v>808</v>
      </c>
      <c r="E165" t="s">
        <v>809</v>
      </c>
      <c r="F165" s="8">
        <v>95.9</v>
      </c>
      <c r="G165" s="6">
        <v>38.4</v>
      </c>
      <c r="H165" t="s">
        <v>810</v>
      </c>
      <c r="I165" t="s">
        <v>811</v>
      </c>
      <c r="J165" s="7">
        <v>4</v>
      </c>
      <c r="L165" s="15">
        <v>45541</v>
      </c>
    </row>
    <row r="166" spans="1:12">
      <c r="A166" s="8">
        <v>165</v>
      </c>
      <c r="B166" t="s">
        <v>812</v>
      </c>
      <c r="C166" t="s">
        <v>14</v>
      </c>
      <c r="D166" t="s">
        <v>813</v>
      </c>
      <c r="E166" t="s">
        <v>814</v>
      </c>
      <c r="F166" s="8" t="s">
        <v>50</v>
      </c>
      <c r="G166" s="6">
        <v>34</v>
      </c>
      <c r="H166" t="s">
        <v>815</v>
      </c>
      <c r="I166" t="s">
        <v>816</v>
      </c>
      <c r="J166" s="21">
        <v>4.5</v>
      </c>
      <c r="K166" t="s">
        <v>817</v>
      </c>
      <c r="L166" s="15">
        <v>45547</v>
      </c>
    </row>
    <row r="167" spans="1:12">
      <c r="A167" s="8">
        <v>166</v>
      </c>
      <c r="B167" t="s">
        <v>473</v>
      </c>
      <c r="C167" t="s">
        <v>21</v>
      </c>
      <c r="D167" t="s">
        <v>818</v>
      </c>
      <c r="E167" t="s">
        <v>819</v>
      </c>
      <c r="F167" s="8" t="s">
        <v>820</v>
      </c>
      <c r="G167" s="6">
        <v>43.6</v>
      </c>
      <c r="H167" t="s">
        <v>416</v>
      </c>
      <c r="I167" t="s">
        <v>821</v>
      </c>
      <c r="J167" s="7" t="s">
        <v>20</v>
      </c>
      <c r="L167" s="15">
        <v>45547</v>
      </c>
    </row>
    <row r="168" spans="1:12">
      <c r="A168" s="8">
        <v>167</v>
      </c>
      <c r="B168" t="s">
        <v>771</v>
      </c>
      <c r="C168" t="s">
        <v>822</v>
      </c>
      <c r="D168" t="s">
        <v>823</v>
      </c>
      <c r="E168" t="s">
        <v>824</v>
      </c>
      <c r="F168" s="8" t="s">
        <v>516</v>
      </c>
      <c r="G168" s="6" t="s">
        <v>516</v>
      </c>
      <c r="H168" t="s">
        <v>41</v>
      </c>
      <c r="I168" t="s">
        <v>825</v>
      </c>
      <c r="J168" s="21">
        <v>4.5</v>
      </c>
      <c r="L168" s="15">
        <v>45547</v>
      </c>
    </row>
    <row r="169" spans="1:12">
      <c r="A169" s="8">
        <v>168</v>
      </c>
      <c r="B169" t="s">
        <v>492</v>
      </c>
      <c r="C169" t="s">
        <v>21</v>
      </c>
      <c r="D169" t="s">
        <v>826</v>
      </c>
      <c r="E169" t="s">
        <v>827</v>
      </c>
      <c r="F169" s="8" t="s">
        <v>828</v>
      </c>
      <c r="G169" s="6">
        <v>38.8</v>
      </c>
      <c r="H169" t="s">
        <v>24</v>
      </c>
      <c r="I169" t="s">
        <v>829</v>
      </c>
      <c r="J169" s="7">
        <v>3.5</v>
      </c>
      <c r="L169" s="15">
        <v>45547</v>
      </c>
    </row>
    <row r="170" spans="1:12">
      <c r="A170" s="8">
        <v>169</v>
      </c>
      <c r="B170" t="s">
        <v>830</v>
      </c>
      <c r="C170" t="s">
        <v>21</v>
      </c>
      <c r="D170" t="s">
        <v>831</v>
      </c>
      <c r="E170" t="s">
        <v>832</v>
      </c>
      <c r="F170" s="8" t="s">
        <v>833</v>
      </c>
      <c r="G170" s="13">
        <v>18.8</v>
      </c>
      <c r="H170" s="8" t="s">
        <v>659</v>
      </c>
      <c r="I170" s="22" t="s">
        <v>207</v>
      </c>
      <c r="J170" s="17">
        <v>3</v>
      </c>
      <c r="L170" s="15">
        <v>45549</v>
      </c>
    </row>
    <row r="171" spans="1:12">
      <c r="A171" s="8">
        <v>170</v>
      </c>
      <c r="B171" t="s">
        <v>642</v>
      </c>
      <c r="C171" t="s">
        <v>21</v>
      </c>
      <c r="D171" t="s">
        <v>834</v>
      </c>
      <c r="E171" t="s">
        <v>835</v>
      </c>
      <c r="F171" s="8" t="s">
        <v>645</v>
      </c>
      <c r="G171" s="6">
        <v>42.5</v>
      </c>
      <c r="H171" t="s">
        <v>747</v>
      </c>
      <c r="I171" t="s">
        <v>836</v>
      </c>
      <c r="J171" s="7">
        <v>3.5</v>
      </c>
      <c r="L171" s="15">
        <v>45553</v>
      </c>
    </row>
    <row r="172" spans="1:12">
      <c r="A172" s="8">
        <v>171</v>
      </c>
      <c r="B172" t="s">
        <v>438</v>
      </c>
      <c r="C172" t="s">
        <v>14</v>
      </c>
      <c r="D172" t="s">
        <v>837</v>
      </c>
      <c r="E172" t="s">
        <v>838</v>
      </c>
      <c r="F172" s="8" t="s">
        <v>839</v>
      </c>
      <c r="G172" s="13">
        <v>15</v>
      </c>
      <c r="H172" t="s">
        <v>840</v>
      </c>
      <c r="I172" t="s">
        <v>841</v>
      </c>
      <c r="J172" s="7">
        <v>3.5</v>
      </c>
      <c r="L172" s="15">
        <v>45553</v>
      </c>
    </row>
    <row r="173" spans="1:12">
      <c r="A173" s="8">
        <v>172</v>
      </c>
      <c r="B173" t="s">
        <v>246</v>
      </c>
      <c r="C173" t="s">
        <v>21</v>
      </c>
      <c r="D173" t="s">
        <v>842</v>
      </c>
      <c r="E173" t="s">
        <v>843</v>
      </c>
      <c r="F173" s="8" t="s">
        <v>844</v>
      </c>
      <c r="G173" s="14">
        <v>57.5</v>
      </c>
      <c r="H173" t="s">
        <v>845</v>
      </c>
      <c r="I173" t="s">
        <v>846</v>
      </c>
      <c r="J173" s="7">
        <v>4</v>
      </c>
      <c r="L173" s="15">
        <v>45553</v>
      </c>
    </row>
    <row r="174" spans="1:12">
      <c r="A174" s="8">
        <v>173</v>
      </c>
      <c r="B174" t="s">
        <v>847</v>
      </c>
      <c r="C174" t="s">
        <v>21</v>
      </c>
      <c r="D174" t="s">
        <v>848</v>
      </c>
      <c r="E174" t="s">
        <v>849</v>
      </c>
      <c r="F174" s="8" t="s">
        <v>850</v>
      </c>
      <c r="G174" s="6">
        <v>30</v>
      </c>
      <c r="H174" t="s">
        <v>851</v>
      </c>
      <c r="I174" t="s">
        <v>852</v>
      </c>
      <c r="J174" s="20" t="s">
        <v>455</v>
      </c>
      <c r="L174" s="15">
        <v>45553</v>
      </c>
    </row>
    <row r="175" spans="1:12">
      <c r="A175" s="8">
        <v>174</v>
      </c>
      <c r="B175" t="s">
        <v>181</v>
      </c>
      <c r="C175" t="s">
        <v>14</v>
      </c>
      <c r="D175" t="s">
        <v>853</v>
      </c>
      <c r="E175" t="s">
        <v>854</v>
      </c>
      <c r="F175" s="8" t="s">
        <v>349</v>
      </c>
      <c r="G175" s="6">
        <v>34.5</v>
      </c>
      <c r="H175" t="s">
        <v>855</v>
      </c>
      <c r="I175" t="s">
        <v>856</v>
      </c>
      <c r="J175" s="20" t="s">
        <v>455</v>
      </c>
      <c r="L175" s="15">
        <v>45559</v>
      </c>
    </row>
    <row r="176" spans="1:12">
      <c r="A176" s="8">
        <v>175</v>
      </c>
      <c r="B176" t="s">
        <v>857</v>
      </c>
      <c r="C176" t="s">
        <v>858</v>
      </c>
      <c r="D176" t="s">
        <v>859</v>
      </c>
      <c r="E176" t="s">
        <v>860</v>
      </c>
      <c r="F176" s="8" t="s">
        <v>861</v>
      </c>
      <c r="G176" s="14">
        <v>65.6</v>
      </c>
      <c r="H176" t="s">
        <v>416</v>
      </c>
      <c r="I176" t="s">
        <v>862</v>
      </c>
      <c r="J176" s="17">
        <v>3</v>
      </c>
      <c r="L176" s="15">
        <v>45559</v>
      </c>
    </row>
    <row r="177" spans="1:12">
      <c r="A177" s="8">
        <v>176</v>
      </c>
      <c r="B177" t="s">
        <v>122</v>
      </c>
      <c r="C177" t="s">
        <v>21</v>
      </c>
      <c r="D177" t="s">
        <v>863</v>
      </c>
      <c r="E177" t="s">
        <v>864</v>
      </c>
      <c r="F177" s="8" t="s">
        <v>865</v>
      </c>
      <c r="G177" s="14">
        <v>85.3</v>
      </c>
      <c r="H177" t="s">
        <v>866</v>
      </c>
      <c r="I177" t="s">
        <v>867</v>
      </c>
      <c r="J177" s="20" t="s">
        <v>603</v>
      </c>
      <c r="K177" t="s">
        <v>868</v>
      </c>
      <c r="L177" s="15">
        <v>45559</v>
      </c>
    </row>
    <row r="178" spans="1:12">
      <c r="A178" s="8">
        <v>177</v>
      </c>
      <c r="B178" t="s">
        <v>869</v>
      </c>
      <c r="C178" t="s">
        <v>21</v>
      </c>
      <c r="D178" t="s">
        <v>870</v>
      </c>
      <c r="E178" t="s">
        <v>871</v>
      </c>
      <c r="F178" s="8" t="s">
        <v>850</v>
      </c>
      <c r="G178" s="6">
        <v>30</v>
      </c>
      <c r="H178" t="s">
        <v>872</v>
      </c>
      <c r="I178" t="s">
        <v>873</v>
      </c>
      <c r="J178" s="17">
        <v>2</v>
      </c>
      <c r="L178" s="15">
        <v>45559</v>
      </c>
    </row>
    <row r="179" spans="1:12">
      <c r="A179" s="8">
        <v>178</v>
      </c>
      <c r="B179" t="s">
        <v>31</v>
      </c>
      <c r="C179" t="s">
        <v>874</v>
      </c>
      <c r="D179" t="s">
        <v>875</v>
      </c>
      <c r="E179" t="s">
        <v>876</v>
      </c>
      <c r="F179" s="8" t="s">
        <v>45</v>
      </c>
      <c r="G179" s="6">
        <v>33</v>
      </c>
      <c r="H179" t="s">
        <v>877</v>
      </c>
      <c r="I179" t="s">
        <v>878</v>
      </c>
      <c r="J179" s="7">
        <v>4</v>
      </c>
      <c r="K179" t="s">
        <v>879</v>
      </c>
      <c r="L179" s="15">
        <v>45563</v>
      </c>
    </row>
    <row r="180" spans="1:12">
      <c r="A180" s="8">
        <v>179</v>
      </c>
      <c r="B180" t="s">
        <v>122</v>
      </c>
      <c r="C180" t="s">
        <v>21</v>
      </c>
      <c r="D180" t="s">
        <v>880</v>
      </c>
      <c r="E180" t="s">
        <v>881</v>
      </c>
      <c r="F180" s="8" t="s">
        <v>882</v>
      </c>
      <c r="G180" s="6">
        <v>21.1</v>
      </c>
      <c r="H180" t="s">
        <v>883</v>
      </c>
      <c r="I180" t="s">
        <v>884</v>
      </c>
      <c r="J180" s="21">
        <v>4.5</v>
      </c>
      <c r="K180" t="s">
        <v>567</v>
      </c>
      <c r="L180" s="15">
        <v>45563</v>
      </c>
    </row>
    <row r="181" spans="1:12">
      <c r="A181" s="8">
        <v>180</v>
      </c>
      <c r="B181" t="s">
        <v>885</v>
      </c>
      <c r="C181" t="s">
        <v>14</v>
      </c>
      <c r="D181" t="s">
        <v>808</v>
      </c>
      <c r="E181" t="s">
        <v>886</v>
      </c>
      <c r="F181" s="8" t="s">
        <v>50</v>
      </c>
      <c r="G181" s="6">
        <v>34</v>
      </c>
      <c r="H181" t="s">
        <v>887</v>
      </c>
      <c r="I181" t="s">
        <v>888</v>
      </c>
      <c r="J181" s="7" t="s">
        <v>144</v>
      </c>
      <c r="K181" t="s">
        <v>889</v>
      </c>
      <c r="L181" s="15">
        <v>45563</v>
      </c>
    </row>
    <row r="182" spans="1:12">
      <c r="A182" s="8">
        <v>181</v>
      </c>
      <c r="B182" t="s">
        <v>192</v>
      </c>
      <c r="C182" t="s">
        <v>14</v>
      </c>
      <c r="D182" t="s">
        <v>808</v>
      </c>
      <c r="E182" t="s">
        <v>890</v>
      </c>
      <c r="F182" s="8" t="s">
        <v>891</v>
      </c>
      <c r="G182" s="13">
        <v>19.8</v>
      </c>
      <c r="H182" t="s">
        <v>892</v>
      </c>
      <c r="I182" t="s">
        <v>325</v>
      </c>
      <c r="J182" s="7">
        <v>4</v>
      </c>
      <c r="K182" t="s">
        <v>567</v>
      </c>
      <c r="L182" s="15">
        <v>45563</v>
      </c>
    </row>
    <row r="183" spans="1:12">
      <c r="A183" s="8">
        <v>182</v>
      </c>
      <c r="B183" t="s">
        <v>31</v>
      </c>
      <c r="C183" t="s">
        <v>14</v>
      </c>
      <c r="D183" t="s">
        <v>893</v>
      </c>
      <c r="E183" t="s">
        <v>894</v>
      </c>
      <c r="F183" s="8" t="s">
        <v>170</v>
      </c>
      <c r="G183" s="6">
        <v>36</v>
      </c>
      <c r="H183" t="s">
        <v>895</v>
      </c>
      <c r="I183" t="s">
        <v>896</v>
      </c>
      <c r="J183" s="20" t="s">
        <v>455</v>
      </c>
      <c r="L183" s="15">
        <v>45575</v>
      </c>
    </row>
    <row r="184" spans="1:12">
      <c r="A184" s="8">
        <v>183</v>
      </c>
      <c r="B184" t="s">
        <v>122</v>
      </c>
      <c r="C184" t="s">
        <v>21</v>
      </c>
      <c r="D184" t="s">
        <v>897</v>
      </c>
      <c r="E184" t="s">
        <v>898</v>
      </c>
      <c r="F184" s="8" t="s">
        <v>882</v>
      </c>
      <c r="G184" s="6">
        <v>21.1</v>
      </c>
      <c r="H184" t="s">
        <v>899</v>
      </c>
      <c r="I184" t="s">
        <v>900</v>
      </c>
      <c r="J184" s="7" t="s">
        <v>20</v>
      </c>
      <c r="L184" s="15">
        <v>45575</v>
      </c>
    </row>
    <row r="185" spans="1:12">
      <c r="A185" s="8">
        <v>184</v>
      </c>
      <c r="B185" t="s">
        <v>901</v>
      </c>
      <c r="C185" t="s">
        <v>14</v>
      </c>
      <c r="D185" t="s">
        <v>104</v>
      </c>
      <c r="E185" t="s">
        <v>902</v>
      </c>
      <c r="F185" s="8" t="s">
        <v>516</v>
      </c>
      <c r="G185" s="6" t="s">
        <v>516</v>
      </c>
      <c r="H185" t="s">
        <v>903</v>
      </c>
      <c r="I185" t="s">
        <v>904</v>
      </c>
      <c r="J185" s="21">
        <v>4.5</v>
      </c>
      <c r="K185" t="s">
        <v>567</v>
      </c>
      <c r="L185" s="15">
        <v>45575</v>
      </c>
    </row>
    <row r="186" spans="1:12">
      <c r="A186" s="8">
        <v>185</v>
      </c>
      <c r="B186" t="s">
        <v>192</v>
      </c>
      <c r="C186" t="s">
        <v>21</v>
      </c>
      <c r="D186" t="s">
        <v>905</v>
      </c>
      <c r="E186" t="s">
        <v>906</v>
      </c>
      <c r="F186" s="8" t="s">
        <v>907</v>
      </c>
      <c r="G186" s="6">
        <v>27.6</v>
      </c>
      <c r="H186" t="s">
        <v>742</v>
      </c>
      <c r="I186" t="s">
        <v>274</v>
      </c>
      <c r="J186" s="7">
        <v>3.5</v>
      </c>
      <c r="L186" s="15">
        <v>45575</v>
      </c>
    </row>
    <row r="187" spans="1:12">
      <c r="A187" s="8">
        <v>186</v>
      </c>
      <c r="B187" t="s">
        <v>908</v>
      </c>
      <c r="C187" t="s">
        <v>21</v>
      </c>
      <c r="D187" s="8">
        <v>1900</v>
      </c>
      <c r="E187" t="s">
        <v>909</v>
      </c>
      <c r="F187" s="8" t="s">
        <v>910</v>
      </c>
      <c r="G187" s="13">
        <v>17.2</v>
      </c>
      <c r="H187" t="s">
        <v>911</v>
      </c>
      <c r="I187" t="s">
        <v>912</v>
      </c>
      <c r="J187" s="7" t="s">
        <v>144</v>
      </c>
      <c r="L187" s="15">
        <v>45576</v>
      </c>
    </row>
    <row r="188" spans="1:13">
      <c r="A188" s="8">
        <v>187</v>
      </c>
      <c r="B188" t="s">
        <v>913</v>
      </c>
      <c r="C188" t="s">
        <v>21</v>
      </c>
      <c r="D188" t="s">
        <v>914</v>
      </c>
      <c r="E188" t="s">
        <v>915</v>
      </c>
      <c r="F188" s="8" t="s">
        <v>916</v>
      </c>
      <c r="G188" s="3">
        <v>32.8</v>
      </c>
      <c r="H188" t="s">
        <v>917</v>
      </c>
      <c r="I188" t="s">
        <v>918</v>
      </c>
      <c r="J188" s="20" t="s">
        <v>603</v>
      </c>
      <c r="L188" s="15">
        <v>45576</v>
      </c>
      <c r="M188" s="15">
        <v>45789</v>
      </c>
    </row>
    <row r="189" spans="1:12">
      <c r="A189" s="8">
        <v>188</v>
      </c>
      <c r="B189" t="s">
        <v>919</v>
      </c>
      <c r="C189" t="s">
        <v>14</v>
      </c>
      <c r="D189" t="s">
        <v>808</v>
      </c>
      <c r="E189" t="s">
        <v>920</v>
      </c>
      <c r="F189" s="8" t="s">
        <v>564</v>
      </c>
      <c r="G189" s="6">
        <v>39</v>
      </c>
      <c r="H189" t="s">
        <v>921</v>
      </c>
      <c r="I189" t="s">
        <v>922</v>
      </c>
      <c r="J189" s="7">
        <v>4</v>
      </c>
      <c r="L189" s="15">
        <v>45434</v>
      </c>
    </row>
    <row r="190" spans="1:12">
      <c r="A190" s="8">
        <v>189</v>
      </c>
      <c r="B190" t="s">
        <v>923</v>
      </c>
      <c r="C190" t="s">
        <v>14</v>
      </c>
      <c r="D190" t="s">
        <v>924</v>
      </c>
      <c r="E190" t="s">
        <v>925</v>
      </c>
      <c r="F190" s="8" t="s">
        <v>926</v>
      </c>
      <c r="G190" s="6">
        <v>30</v>
      </c>
      <c r="H190" t="s">
        <v>927</v>
      </c>
      <c r="I190" t="s">
        <v>30</v>
      </c>
      <c r="J190" s="21">
        <v>4.5</v>
      </c>
      <c r="K190" t="s">
        <v>817</v>
      </c>
      <c r="L190" s="15">
        <v>45576</v>
      </c>
    </row>
    <row r="191" spans="1:12">
      <c r="A191" s="8">
        <v>190</v>
      </c>
      <c r="B191" t="s">
        <v>928</v>
      </c>
      <c r="C191" t="s">
        <v>929</v>
      </c>
      <c r="D191" t="s">
        <v>930</v>
      </c>
      <c r="E191" t="s">
        <v>931</v>
      </c>
      <c r="F191" s="8" t="s">
        <v>516</v>
      </c>
      <c r="G191" s="6" t="s">
        <v>516</v>
      </c>
      <c r="H191" t="s">
        <v>932</v>
      </c>
      <c r="I191" t="s">
        <v>933</v>
      </c>
      <c r="J191" s="17">
        <v>2.5</v>
      </c>
      <c r="L191" s="15">
        <v>45576</v>
      </c>
    </row>
    <row r="192" spans="1:12">
      <c r="A192" s="8">
        <v>191</v>
      </c>
      <c r="B192" t="s">
        <v>13</v>
      </c>
      <c r="C192" t="s">
        <v>14</v>
      </c>
      <c r="D192" t="s">
        <v>934</v>
      </c>
      <c r="E192" t="s">
        <v>935</v>
      </c>
      <c r="F192" s="8" t="s">
        <v>936</v>
      </c>
      <c r="G192" s="6">
        <v>34.7</v>
      </c>
      <c r="H192" t="s">
        <v>937</v>
      </c>
      <c r="I192" t="s">
        <v>938</v>
      </c>
      <c r="J192" s="7">
        <v>4</v>
      </c>
      <c r="L192" s="15">
        <v>45588</v>
      </c>
    </row>
    <row r="193" spans="1:12">
      <c r="A193" s="8">
        <v>192</v>
      </c>
      <c r="B193" t="s">
        <v>246</v>
      </c>
      <c r="C193" t="s">
        <v>21</v>
      </c>
      <c r="D193" t="s">
        <v>939</v>
      </c>
      <c r="E193" t="s">
        <v>940</v>
      </c>
      <c r="F193" s="8" t="s">
        <v>645</v>
      </c>
      <c r="G193" s="6">
        <v>42.5</v>
      </c>
      <c r="H193" t="s">
        <v>941</v>
      </c>
      <c r="I193" t="s">
        <v>942</v>
      </c>
      <c r="J193" s="7" t="s">
        <v>20</v>
      </c>
      <c r="L193" s="15">
        <v>45588</v>
      </c>
    </row>
    <row r="194" spans="1:12">
      <c r="A194" s="8">
        <v>193</v>
      </c>
      <c r="B194" t="s">
        <v>943</v>
      </c>
      <c r="C194" t="s">
        <v>21</v>
      </c>
      <c r="D194" t="s">
        <v>944</v>
      </c>
      <c r="E194" t="s">
        <v>945</v>
      </c>
      <c r="F194" s="8" t="s">
        <v>645</v>
      </c>
      <c r="G194" s="6">
        <v>42.5</v>
      </c>
      <c r="H194" t="s">
        <v>946</v>
      </c>
      <c r="I194" t="s">
        <v>947</v>
      </c>
      <c r="J194" s="7">
        <v>4</v>
      </c>
      <c r="L194" s="15">
        <v>45588</v>
      </c>
    </row>
    <row r="195" spans="1:12">
      <c r="A195" s="8">
        <v>194</v>
      </c>
      <c r="B195" t="s">
        <v>25</v>
      </c>
      <c r="C195" t="s">
        <v>14</v>
      </c>
      <c r="D195" t="s">
        <v>948</v>
      </c>
      <c r="E195" t="s">
        <v>949</v>
      </c>
      <c r="F195" s="8" t="s">
        <v>783</v>
      </c>
      <c r="G195" s="6">
        <v>24.7</v>
      </c>
      <c r="H195" t="s">
        <v>946</v>
      </c>
      <c r="I195" t="s">
        <v>950</v>
      </c>
      <c r="J195" s="7">
        <v>3.5</v>
      </c>
      <c r="L195" s="15">
        <v>45588</v>
      </c>
    </row>
    <row r="196" spans="1:12">
      <c r="A196" s="8">
        <v>195</v>
      </c>
      <c r="B196" t="s">
        <v>951</v>
      </c>
      <c r="C196" t="s">
        <v>553</v>
      </c>
      <c r="D196" t="s">
        <v>952</v>
      </c>
      <c r="E196" t="s">
        <v>953</v>
      </c>
      <c r="F196" s="8" t="s">
        <v>954</v>
      </c>
      <c r="G196" s="6">
        <v>39.2</v>
      </c>
      <c r="H196" t="s">
        <v>955</v>
      </c>
      <c r="I196" t="s">
        <v>459</v>
      </c>
      <c r="J196" s="21">
        <v>4.5</v>
      </c>
      <c r="K196" t="s">
        <v>145</v>
      </c>
      <c r="L196" s="15">
        <v>45596</v>
      </c>
    </row>
    <row r="197" spans="1:12">
      <c r="A197" s="8">
        <v>196</v>
      </c>
      <c r="B197" t="s">
        <v>812</v>
      </c>
      <c r="C197" t="s">
        <v>21</v>
      </c>
      <c r="D197" t="s">
        <v>956</v>
      </c>
      <c r="E197" t="s">
        <v>957</v>
      </c>
      <c r="F197" s="8" t="s">
        <v>227</v>
      </c>
      <c r="G197" s="6">
        <v>24</v>
      </c>
      <c r="H197" t="s">
        <v>958</v>
      </c>
      <c r="I197" t="s">
        <v>959</v>
      </c>
      <c r="J197" s="20" t="s">
        <v>455</v>
      </c>
      <c r="L197" s="15">
        <v>45596</v>
      </c>
    </row>
    <row r="198" spans="1:12">
      <c r="A198" s="8">
        <v>197</v>
      </c>
      <c r="B198" t="s">
        <v>25</v>
      </c>
      <c r="C198" t="s">
        <v>21</v>
      </c>
      <c r="D198" t="s">
        <v>960</v>
      </c>
      <c r="E198" t="s">
        <v>961</v>
      </c>
      <c r="F198" s="8" t="s">
        <v>962</v>
      </c>
      <c r="G198" s="13">
        <v>19.8</v>
      </c>
      <c r="H198" t="s">
        <v>688</v>
      </c>
      <c r="I198" t="s">
        <v>963</v>
      </c>
      <c r="J198" s="7">
        <v>4</v>
      </c>
      <c r="L198" s="15">
        <v>45596</v>
      </c>
    </row>
    <row r="199" spans="1:12">
      <c r="A199" s="8">
        <v>198</v>
      </c>
      <c r="B199" t="s">
        <v>964</v>
      </c>
      <c r="C199" t="s">
        <v>14</v>
      </c>
      <c r="D199" t="s">
        <v>965</v>
      </c>
      <c r="E199" t="s">
        <v>966</v>
      </c>
      <c r="F199" s="8" t="s">
        <v>967</v>
      </c>
      <c r="G199" s="6">
        <v>39.5</v>
      </c>
      <c r="H199" t="s">
        <v>968</v>
      </c>
      <c r="I199" t="s">
        <v>904</v>
      </c>
      <c r="J199" s="7" t="s">
        <v>20</v>
      </c>
      <c r="L199" s="15">
        <v>45596</v>
      </c>
    </row>
    <row r="200" spans="1:12">
      <c r="A200" s="8">
        <v>199</v>
      </c>
      <c r="B200" t="s">
        <v>812</v>
      </c>
      <c r="C200" t="s">
        <v>14</v>
      </c>
      <c r="D200" t="s">
        <v>969</v>
      </c>
      <c r="E200" t="s">
        <v>970</v>
      </c>
      <c r="F200" s="8" t="s">
        <v>971</v>
      </c>
      <c r="G200" s="6">
        <v>37.5</v>
      </c>
      <c r="H200" t="s">
        <v>972</v>
      </c>
      <c r="I200" t="s">
        <v>973</v>
      </c>
      <c r="J200" s="21">
        <v>4.5</v>
      </c>
      <c r="K200" t="s">
        <v>974</v>
      </c>
      <c r="L200" s="12" t="s">
        <v>975</v>
      </c>
    </row>
    <row r="201" spans="1:12">
      <c r="A201" s="8">
        <v>200</v>
      </c>
      <c r="B201" t="s">
        <v>91</v>
      </c>
      <c r="C201" t="s">
        <v>14</v>
      </c>
      <c r="D201" t="s">
        <v>976</v>
      </c>
      <c r="E201" t="s">
        <v>977</v>
      </c>
      <c r="F201" s="8" t="s">
        <v>978</v>
      </c>
      <c r="G201" s="6">
        <v>40.1</v>
      </c>
      <c r="H201" t="s">
        <v>433</v>
      </c>
      <c r="I201" t="s">
        <v>30</v>
      </c>
      <c r="J201" s="21">
        <v>4.5</v>
      </c>
      <c r="K201" t="s">
        <v>817</v>
      </c>
      <c r="L201" s="12" t="s">
        <v>975</v>
      </c>
    </row>
    <row r="202" spans="1:12">
      <c r="A202" s="8">
        <v>201</v>
      </c>
      <c r="B202" t="s">
        <v>37</v>
      </c>
      <c r="C202" t="s">
        <v>21</v>
      </c>
      <c r="D202" t="s">
        <v>979</v>
      </c>
      <c r="E202" t="s">
        <v>980</v>
      </c>
      <c r="F202" s="8" t="s">
        <v>349</v>
      </c>
      <c r="G202" s="6">
        <v>34.5</v>
      </c>
      <c r="H202" t="s">
        <v>981</v>
      </c>
      <c r="I202" t="s">
        <v>982</v>
      </c>
      <c r="J202" s="7" t="s">
        <v>20</v>
      </c>
      <c r="L202" s="12" t="s">
        <v>975</v>
      </c>
    </row>
    <row r="203" spans="1:12">
      <c r="A203" s="8">
        <v>202</v>
      </c>
      <c r="B203" t="s">
        <v>983</v>
      </c>
      <c r="C203" t="s">
        <v>21</v>
      </c>
      <c r="D203" t="s">
        <v>984</v>
      </c>
      <c r="E203" t="s">
        <v>985</v>
      </c>
      <c r="F203" s="8" t="s">
        <v>986</v>
      </c>
      <c r="G203" s="13">
        <v>19.6</v>
      </c>
      <c r="H203" t="s">
        <v>987</v>
      </c>
      <c r="I203" t="s">
        <v>988</v>
      </c>
      <c r="J203" s="7">
        <v>4</v>
      </c>
      <c r="L203" s="12" t="s">
        <v>975</v>
      </c>
    </row>
    <row r="204" spans="1:12">
      <c r="A204" s="8">
        <v>203</v>
      </c>
      <c r="B204" t="s">
        <v>473</v>
      </c>
      <c r="C204" t="s">
        <v>14</v>
      </c>
      <c r="D204" t="s">
        <v>275</v>
      </c>
      <c r="E204" t="s">
        <v>989</v>
      </c>
      <c r="F204" s="8" t="s">
        <v>990</v>
      </c>
      <c r="G204" s="6">
        <v>48.5</v>
      </c>
      <c r="H204" t="s">
        <v>991</v>
      </c>
      <c r="I204" t="s">
        <v>102</v>
      </c>
      <c r="J204" s="7" t="s">
        <v>144</v>
      </c>
      <c r="K204" t="s">
        <v>567</v>
      </c>
      <c r="L204" s="15">
        <v>45604</v>
      </c>
    </row>
    <row r="205" spans="1:12">
      <c r="A205" s="8">
        <v>204</v>
      </c>
      <c r="B205" t="s">
        <v>25</v>
      </c>
      <c r="C205" t="s">
        <v>14</v>
      </c>
      <c r="D205" t="s">
        <v>992</v>
      </c>
      <c r="E205" t="s">
        <v>993</v>
      </c>
      <c r="F205" s="8" t="s">
        <v>994</v>
      </c>
      <c r="G205" s="6">
        <v>23.3</v>
      </c>
      <c r="H205" t="s">
        <v>995</v>
      </c>
      <c r="I205" t="s">
        <v>996</v>
      </c>
      <c r="J205" s="7">
        <v>3.5</v>
      </c>
      <c r="L205" s="15">
        <v>45604</v>
      </c>
    </row>
    <row r="206" spans="1:12">
      <c r="A206" s="8">
        <v>205</v>
      </c>
      <c r="B206" t="s">
        <v>997</v>
      </c>
      <c r="C206" t="s">
        <v>21</v>
      </c>
      <c r="D206" t="s">
        <v>998</v>
      </c>
      <c r="E206" t="s">
        <v>999</v>
      </c>
      <c r="F206" s="8" t="s">
        <v>618</v>
      </c>
      <c r="G206" s="6">
        <v>21.6</v>
      </c>
      <c r="H206" t="s">
        <v>1000</v>
      </c>
      <c r="I206" t="s">
        <v>631</v>
      </c>
      <c r="J206" s="7" t="s">
        <v>144</v>
      </c>
      <c r="K206" t="s">
        <v>817</v>
      </c>
      <c r="L206" s="15">
        <v>45604</v>
      </c>
    </row>
    <row r="207" spans="1:12">
      <c r="A207" s="8">
        <v>206</v>
      </c>
      <c r="B207" t="s">
        <v>139</v>
      </c>
      <c r="C207" t="s">
        <v>21</v>
      </c>
      <c r="D207" t="s">
        <v>1001</v>
      </c>
      <c r="E207" t="s">
        <v>1002</v>
      </c>
      <c r="F207" s="8" t="s">
        <v>1003</v>
      </c>
      <c r="G207" s="6">
        <v>28.8</v>
      </c>
      <c r="H207" t="s">
        <v>1004</v>
      </c>
      <c r="I207" t="s">
        <v>1005</v>
      </c>
      <c r="J207" s="21">
        <v>4.5</v>
      </c>
      <c r="L207" s="15">
        <v>45604</v>
      </c>
    </row>
    <row r="208" spans="1:12">
      <c r="A208" s="8">
        <v>207</v>
      </c>
      <c r="B208" t="s">
        <v>473</v>
      </c>
      <c r="C208" t="s">
        <v>21</v>
      </c>
      <c r="D208" t="s">
        <v>1006</v>
      </c>
      <c r="E208" t="s">
        <v>1007</v>
      </c>
      <c r="F208" s="8" t="s">
        <v>990</v>
      </c>
      <c r="G208" s="6">
        <v>48.5</v>
      </c>
      <c r="H208" t="s">
        <v>1008</v>
      </c>
      <c r="I208" t="s">
        <v>325</v>
      </c>
      <c r="J208" s="21">
        <v>4.5</v>
      </c>
      <c r="L208" s="15">
        <v>45601</v>
      </c>
    </row>
    <row r="209" spans="1:12">
      <c r="A209" s="8">
        <v>208</v>
      </c>
      <c r="B209" t="s">
        <v>997</v>
      </c>
      <c r="C209" t="s">
        <v>21</v>
      </c>
      <c r="D209" t="s">
        <v>1009</v>
      </c>
      <c r="E209" t="s">
        <v>1010</v>
      </c>
      <c r="F209" s="8" t="s">
        <v>323</v>
      </c>
      <c r="G209" s="6">
        <v>27.8</v>
      </c>
      <c r="H209" t="s">
        <v>1011</v>
      </c>
      <c r="I209" t="s">
        <v>1012</v>
      </c>
      <c r="J209" s="7">
        <v>4</v>
      </c>
      <c r="L209" s="15">
        <v>45601</v>
      </c>
    </row>
    <row r="210" spans="1:12">
      <c r="A210" s="8">
        <v>209</v>
      </c>
      <c r="B210" t="s">
        <v>1013</v>
      </c>
      <c r="C210" t="s">
        <v>21</v>
      </c>
      <c r="D210" t="s">
        <v>1014</v>
      </c>
      <c r="E210" t="s">
        <v>1015</v>
      </c>
      <c r="F210" s="8" t="s">
        <v>1016</v>
      </c>
      <c r="G210" s="6">
        <v>33</v>
      </c>
      <c r="H210" t="s">
        <v>1015</v>
      </c>
      <c r="I210" t="s">
        <v>1005</v>
      </c>
      <c r="J210" s="21">
        <v>4.5</v>
      </c>
      <c r="L210" s="15">
        <v>45601</v>
      </c>
    </row>
    <row r="211" spans="1:12">
      <c r="A211" s="8">
        <v>210</v>
      </c>
      <c r="B211" t="s">
        <v>139</v>
      </c>
      <c r="C211" t="s">
        <v>21</v>
      </c>
      <c r="D211" t="s">
        <v>1017</v>
      </c>
      <c r="E211" t="s">
        <v>1018</v>
      </c>
      <c r="F211" s="8" t="s">
        <v>907</v>
      </c>
      <c r="G211" s="6">
        <v>27.6</v>
      </c>
      <c r="H211" t="s">
        <v>778</v>
      </c>
      <c r="I211" t="s">
        <v>96</v>
      </c>
      <c r="J211" s="7" t="s">
        <v>20</v>
      </c>
      <c r="L211" s="15">
        <v>45601</v>
      </c>
    </row>
    <row r="212" spans="1:12">
      <c r="A212" s="8">
        <v>211</v>
      </c>
      <c r="B212" t="s">
        <v>1019</v>
      </c>
      <c r="C212" t="s">
        <v>14</v>
      </c>
      <c r="D212" t="s">
        <v>158</v>
      </c>
      <c r="E212" t="s">
        <v>1020</v>
      </c>
      <c r="F212" s="8" t="s">
        <v>1021</v>
      </c>
      <c r="G212" s="14">
        <v>64.5</v>
      </c>
      <c r="H212" t="s">
        <v>1022</v>
      </c>
      <c r="I212" t="s">
        <v>260</v>
      </c>
      <c r="J212" s="7" t="s">
        <v>20</v>
      </c>
      <c r="L212" s="15">
        <v>45646</v>
      </c>
    </row>
    <row r="213" spans="1:12">
      <c r="A213" s="8">
        <v>212</v>
      </c>
      <c r="B213" t="s">
        <v>181</v>
      </c>
      <c r="C213" t="s">
        <v>21</v>
      </c>
      <c r="D213" t="s">
        <v>1023</v>
      </c>
      <c r="E213" t="s">
        <v>1024</v>
      </c>
      <c r="F213" s="8" t="s">
        <v>1025</v>
      </c>
      <c r="G213" s="6">
        <v>25.9</v>
      </c>
      <c r="H213" t="s">
        <v>24</v>
      </c>
      <c r="I213" t="s">
        <v>1026</v>
      </c>
      <c r="J213" s="7">
        <v>3.5</v>
      </c>
      <c r="L213" s="15">
        <v>45646</v>
      </c>
    </row>
    <row r="214" spans="1:12">
      <c r="A214" s="8">
        <v>213</v>
      </c>
      <c r="B214" t="s">
        <v>1027</v>
      </c>
      <c r="C214" t="s">
        <v>21</v>
      </c>
      <c r="D214" t="s">
        <v>1028</v>
      </c>
      <c r="E214" t="s">
        <v>1029</v>
      </c>
      <c r="F214" s="8" t="s">
        <v>1030</v>
      </c>
      <c r="G214" s="6">
        <v>33</v>
      </c>
      <c r="H214" t="s">
        <v>1031</v>
      </c>
      <c r="I214" t="s">
        <v>1026</v>
      </c>
      <c r="J214" s="7">
        <v>4</v>
      </c>
      <c r="L214" s="15">
        <v>45646</v>
      </c>
    </row>
    <row r="215" spans="1:12">
      <c r="A215" s="8">
        <v>214</v>
      </c>
      <c r="B215" t="s">
        <v>1032</v>
      </c>
      <c r="C215" t="s">
        <v>822</v>
      </c>
      <c r="D215" t="s">
        <v>1033</v>
      </c>
      <c r="E215" t="s">
        <v>1034</v>
      </c>
      <c r="F215" s="8" t="s">
        <v>1035</v>
      </c>
      <c r="G215" s="14">
        <v>58</v>
      </c>
      <c r="H215" t="s">
        <v>1036</v>
      </c>
      <c r="I215" t="s">
        <v>1037</v>
      </c>
      <c r="J215" s="7" t="s">
        <v>144</v>
      </c>
      <c r="L215" s="15">
        <v>45646</v>
      </c>
    </row>
    <row r="216" spans="1:12">
      <c r="A216" s="8">
        <v>215</v>
      </c>
      <c r="B216" t="s">
        <v>1019</v>
      </c>
      <c r="C216" t="s">
        <v>14</v>
      </c>
      <c r="D216" t="s">
        <v>53</v>
      </c>
      <c r="E216" t="s">
        <v>1038</v>
      </c>
      <c r="F216" s="8" t="s">
        <v>1039</v>
      </c>
      <c r="G216" s="14">
        <v>69.5</v>
      </c>
      <c r="H216" t="s">
        <v>1040</v>
      </c>
      <c r="I216" t="s">
        <v>1041</v>
      </c>
      <c r="J216" s="7">
        <v>4</v>
      </c>
      <c r="L216" s="15">
        <v>45621</v>
      </c>
    </row>
    <row r="217" spans="1:12">
      <c r="A217" s="8">
        <v>216</v>
      </c>
      <c r="B217" t="s">
        <v>1042</v>
      </c>
      <c r="C217" t="s">
        <v>21</v>
      </c>
      <c r="D217" t="s">
        <v>1043</v>
      </c>
      <c r="E217" t="s">
        <v>1044</v>
      </c>
      <c r="F217" s="8" t="s">
        <v>706</v>
      </c>
      <c r="G217" s="6">
        <v>49</v>
      </c>
      <c r="H217" t="s">
        <v>1045</v>
      </c>
      <c r="I217" t="s">
        <v>30</v>
      </c>
      <c r="J217" s="21">
        <v>4.5</v>
      </c>
      <c r="L217" s="15">
        <v>45621</v>
      </c>
    </row>
    <row r="218" spans="1:12">
      <c r="A218" s="8">
        <v>217</v>
      </c>
      <c r="B218" t="s">
        <v>1046</v>
      </c>
      <c r="C218" t="s">
        <v>21</v>
      </c>
      <c r="D218" t="s">
        <v>1047</v>
      </c>
      <c r="E218" t="s">
        <v>1048</v>
      </c>
      <c r="F218" s="8" t="s">
        <v>1049</v>
      </c>
      <c r="G218" s="6">
        <v>40</v>
      </c>
      <c r="H218" t="s">
        <v>1050</v>
      </c>
      <c r="I218" t="s">
        <v>1051</v>
      </c>
      <c r="J218" s="7">
        <v>3.5</v>
      </c>
      <c r="L218" s="15">
        <v>45621</v>
      </c>
    </row>
    <row r="219" spans="1:12">
      <c r="A219" s="8">
        <v>218</v>
      </c>
      <c r="B219" t="s">
        <v>1052</v>
      </c>
      <c r="C219" t="s">
        <v>21</v>
      </c>
      <c r="D219" t="s">
        <v>1053</v>
      </c>
      <c r="E219" t="s">
        <v>1054</v>
      </c>
      <c r="F219" s="8" t="s">
        <v>1055</v>
      </c>
      <c r="G219" s="6">
        <v>30</v>
      </c>
      <c r="H219" t="s">
        <v>24</v>
      </c>
      <c r="I219" t="s">
        <v>274</v>
      </c>
      <c r="J219" s="7">
        <v>3.5</v>
      </c>
      <c r="L219" s="15">
        <v>45621</v>
      </c>
    </row>
    <row r="220" spans="1:12">
      <c r="A220" s="8">
        <v>219</v>
      </c>
      <c r="B220" t="s">
        <v>31</v>
      </c>
      <c r="C220" t="s">
        <v>14</v>
      </c>
      <c r="D220" t="s">
        <v>1056</v>
      </c>
      <c r="E220" t="s">
        <v>1057</v>
      </c>
      <c r="F220" s="8" t="s">
        <v>1058</v>
      </c>
      <c r="G220" s="14">
        <v>82.5</v>
      </c>
      <c r="H220" t="s">
        <v>1059</v>
      </c>
      <c r="I220" t="s">
        <v>1060</v>
      </c>
      <c r="J220" s="20" t="s">
        <v>455</v>
      </c>
      <c r="L220" s="15">
        <v>45626</v>
      </c>
    </row>
    <row r="221" spans="1:12">
      <c r="A221" s="8">
        <v>220</v>
      </c>
      <c r="B221" t="s">
        <v>31</v>
      </c>
      <c r="C221" t="s">
        <v>14</v>
      </c>
      <c r="D221" t="s">
        <v>1061</v>
      </c>
      <c r="E221" t="s">
        <v>1062</v>
      </c>
      <c r="F221" s="8" t="s">
        <v>1063</v>
      </c>
      <c r="G221" s="6">
        <v>44.5</v>
      </c>
      <c r="H221" t="s">
        <v>1064</v>
      </c>
      <c r="I221" t="s">
        <v>46</v>
      </c>
      <c r="J221" s="7" t="s">
        <v>144</v>
      </c>
      <c r="K221" t="s">
        <v>346</v>
      </c>
      <c r="L221" s="15">
        <v>45626</v>
      </c>
    </row>
    <row r="222" spans="1:12">
      <c r="A222" s="8">
        <v>221</v>
      </c>
      <c r="B222" t="s">
        <v>31</v>
      </c>
      <c r="C222" t="s">
        <v>14</v>
      </c>
      <c r="D222" t="s">
        <v>1065</v>
      </c>
      <c r="E222" t="s">
        <v>1066</v>
      </c>
      <c r="F222" s="8" t="s">
        <v>564</v>
      </c>
      <c r="G222" s="6">
        <v>39</v>
      </c>
      <c r="H222" t="s">
        <v>1067</v>
      </c>
      <c r="I222" t="s">
        <v>30</v>
      </c>
      <c r="J222" s="21">
        <v>4.5</v>
      </c>
      <c r="L222" s="15">
        <v>45626</v>
      </c>
    </row>
    <row r="223" spans="1:12">
      <c r="A223" s="8">
        <v>222</v>
      </c>
      <c r="B223" t="s">
        <v>31</v>
      </c>
      <c r="C223" t="s">
        <v>390</v>
      </c>
      <c r="D223" t="s">
        <v>1068</v>
      </c>
      <c r="E223" t="s">
        <v>1069</v>
      </c>
      <c r="F223" s="8" t="s">
        <v>564</v>
      </c>
      <c r="G223" s="6">
        <v>39</v>
      </c>
      <c r="H223" t="s">
        <v>1070</v>
      </c>
      <c r="I223" t="s">
        <v>1071</v>
      </c>
      <c r="J223" s="7">
        <v>4</v>
      </c>
      <c r="L223" s="15">
        <v>45626</v>
      </c>
    </row>
    <row r="224" spans="1:12">
      <c r="A224" s="8">
        <v>223</v>
      </c>
      <c r="B224" t="s">
        <v>473</v>
      </c>
      <c r="C224" t="s">
        <v>14</v>
      </c>
      <c r="D224" t="s">
        <v>1072</v>
      </c>
      <c r="E224" t="s">
        <v>1073</v>
      </c>
      <c r="F224" s="8" t="s">
        <v>1074</v>
      </c>
      <c r="G224" s="6">
        <v>39.6</v>
      </c>
      <c r="H224" t="s">
        <v>1075</v>
      </c>
      <c r="I224" t="s">
        <v>1076</v>
      </c>
      <c r="J224" s="21">
        <v>4.5</v>
      </c>
      <c r="K224" t="s">
        <v>567</v>
      </c>
      <c r="L224" s="15">
        <v>45635</v>
      </c>
    </row>
    <row r="225" spans="1:12">
      <c r="A225" s="8">
        <v>224</v>
      </c>
      <c r="B225" t="s">
        <v>85</v>
      </c>
      <c r="C225" t="s">
        <v>21</v>
      </c>
      <c r="D225" t="s">
        <v>1077</v>
      </c>
      <c r="E225" t="s">
        <v>1078</v>
      </c>
      <c r="F225" s="8" t="s">
        <v>724</v>
      </c>
      <c r="G225" s="6">
        <v>38.4</v>
      </c>
      <c r="H225" t="s">
        <v>1079</v>
      </c>
      <c r="I225" t="s">
        <v>180</v>
      </c>
      <c r="J225" s="7" t="s">
        <v>144</v>
      </c>
      <c r="L225" s="15">
        <v>45635</v>
      </c>
    </row>
    <row r="226" spans="1:12">
      <c r="A226" s="8">
        <v>225</v>
      </c>
      <c r="B226" t="s">
        <v>283</v>
      </c>
      <c r="C226" t="s">
        <v>21</v>
      </c>
      <c r="D226" t="s">
        <v>1080</v>
      </c>
      <c r="E226" t="s">
        <v>1081</v>
      </c>
      <c r="F226" s="8" t="s">
        <v>1082</v>
      </c>
      <c r="G226" s="6">
        <v>35.7</v>
      </c>
      <c r="H226" t="s">
        <v>522</v>
      </c>
      <c r="I226" t="s">
        <v>1083</v>
      </c>
      <c r="J226" s="7">
        <v>4</v>
      </c>
      <c r="L226" s="15">
        <v>45635</v>
      </c>
    </row>
    <row r="227" spans="1:12">
      <c r="A227" s="8">
        <v>226</v>
      </c>
      <c r="B227" t="s">
        <v>1084</v>
      </c>
      <c r="C227" t="s">
        <v>21</v>
      </c>
      <c r="D227" t="s">
        <v>1085</v>
      </c>
      <c r="E227" t="s">
        <v>1086</v>
      </c>
      <c r="F227" s="8" t="s">
        <v>263</v>
      </c>
      <c r="G227" s="6">
        <v>28.2</v>
      </c>
      <c r="H227" t="s">
        <v>1087</v>
      </c>
      <c r="I227" t="s">
        <v>1088</v>
      </c>
      <c r="J227" s="21">
        <v>4.5</v>
      </c>
      <c r="K227" t="s">
        <v>145</v>
      </c>
      <c r="L227" s="15">
        <v>45635</v>
      </c>
    </row>
    <row r="228" spans="1:12">
      <c r="A228" s="8">
        <v>227</v>
      </c>
      <c r="B228" t="s">
        <v>1089</v>
      </c>
      <c r="C228" t="s">
        <v>822</v>
      </c>
      <c r="D228" t="s">
        <v>1090</v>
      </c>
      <c r="E228" t="s">
        <v>1091</v>
      </c>
      <c r="F228" s="8" t="s">
        <v>1092</v>
      </c>
      <c r="G228" s="6">
        <v>30</v>
      </c>
      <c r="H228" t="s">
        <v>1093</v>
      </c>
      <c r="I228" t="s">
        <v>501</v>
      </c>
      <c r="J228" s="7">
        <v>4</v>
      </c>
      <c r="L228" s="15">
        <v>45639</v>
      </c>
    </row>
    <row r="229" spans="1:12">
      <c r="A229" s="8">
        <v>228</v>
      </c>
      <c r="B229" t="s">
        <v>1084</v>
      </c>
      <c r="C229" t="s">
        <v>21</v>
      </c>
      <c r="D229" t="s">
        <v>1094</v>
      </c>
      <c r="E229" t="s">
        <v>1095</v>
      </c>
      <c r="F229" s="8" t="s">
        <v>751</v>
      </c>
      <c r="G229" s="6">
        <v>30.4</v>
      </c>
      <c r="H229" t="s">
        <v>1096</v>
      </c>
      <c r="I229" t="s">
        <v>1097</v>
      </c>
      <c r="J229" s="7" t="s">
        <v>20</v>
      </c>
      <c r="L229" s="15">
        <v>45639</v>
      </c>
    </row>
    <row r="230" spans="1:12">
      <c r="A230" s="8">
        <v>229</v>
      </c>
      <c r="B230" t="s">
        <v>37</v>
      </c>
      <c r="C230" t="s">
        <v>21</v>
      </c>
      <c r="D230" t="s">
        <v>979</v>
      </c>
      <c r="E230" t="s">
        <v>1098</v>
      </c>
      <c r="F230" s="8" t="s">
        <v>850</v>
      </c>
      <c r="G230" s="6">
        <v>30</v>
      </c>
      <c r="H230" t="s">
        <v>778</v>
      </c>
      <c r="I230" t="s">
        <v>501</v>
      </c>
      <c r="J230" s="7">
        <v>3.5</v>
      </c>
      <c r="L230" s="15">
        <v>45639</v>
      </c>
    </row>
    <row r="231" spans="1:12">
      <c r="A231" s="8">
        <v>230</v>
      </c>
      <c r="B231" t="s">
        <v>330</v>
      </c>
      <c r="C231" t="s">
        <v>21</v>
      </c>
      <c r="D231" t="s">
        <v>1099</v>
      </c>
      <c r="E231" t="s">
        <v>1100</v>
      </c>
      <c r="F231" s="8" t="s">
        <v>50</v>
      </c>
      <c r="G231" s="6">
        <v>34</v>
      </c>
      <c r="H231" t="s">
        <v>1101</v>
      </c>
      <c r="I231" t="s">
        <v>1102</v>
      </c>
      <c r="J231" s="21">
        <v>4.5</v>
      </c>
      <c r="L231" s="15">
        <v>45639</v>
      </c>
    </row>
    <row r="232" spans="1:12">
      <c r="A232" s="8">
        <v>231</v>
      </c>
      <c r="B232" t="s">
        <v>31</v>
      </c>
      <c r="C232" t="s">
        <v>721</v>
      </c>
      <c r="D232" t="s">
        <v>1103</v>
      </c>
      <c r="E232" t="s">
        <v>1104</v>
      </c>
      <c r="F232" s="8" t="s">
        <v>967</v>
      </c>
      <c r="G232" s="6">
        <v>39.5</v>
      </c>
      <c r="H232" t="s">
        <v>1105</v>
      </c>
      <c r="I232" t="s">
        <v>552</v>
      </c>
      <c r="J232" s="7">
        <v>4</v>
      </c>
      <c r="K232" t="s">
        <v>215</v>
      </c>
      <c r="L232" s="15">
        <v>45643</v>
      </c>
    </row>
    <row r="233" spans="1:12">
      <c r="A233" s="8">
        <v>232</v>
      </c>
      <c r="B233" t="s">
        <v>85</v>
      </c>
      <c r="C233" t="s">
        <v>21</v>
      </c>
      <c r="D233" t="s">
        <v>1106</v>
      </c>
      <c r="E233" t="s">
        <v>1107</v>
      </c>
      <c r="F233" s="8" t="s">
        <v>1108</v>
      </c>
      <c r="G233" s="6">
        <v>36.4</v>
      </c>
      <c r="H233" t="s">
        <v>1109</v>
      </c>
      <c r="I233" t="s">
        <v>96</v>
      </c>
      <c r="J233" s="7" t="s">
        <v>144</v>
      </c>
      <c r="K233" t="s">
        <v>567</v>
      </c>
      <c r="L233" s="15">
        <v>45647</v>
      </c>
    </row>
    <row r="234" spans="1:12">
      <c r="A234" s="8">
        <v>233</v>
      </c>
      <c r="B234" t="s">
        <v>85</v>
      </c>
      <c r="C234" t="s">
        <v>21</v>
      </c>
      <c r="D234" t="s">
        <v>1110</v>
      </c>
      <c r="E234" t="s">
        <v>33</v>
      </c>
      <c r="F234" s="8" t="s">
        <v>55</v>
      </c>
      <c r="G234" s="6">
        <v>24</v>
      </c>
      <c r="H234" t="s">
        <v>1111</v>
      </c>
      <c r="I234" t="s">
        <v>1112</v>
      </c>
      <c r="J234" s="18" t="s">
        <v>121</v>
      </c>
      <c r="L234" s="15">
        <v>45647</v>
      </c>
    </row>
    <row r="235" spans="1:12">
      <c r="A235" s="8">
        <v>234</v>
      </c>
      <c r="B235" t="s">
        <v>37</v>
      </c>
      <c r="C235" t="s">
        <v>21</v>
      </c>
      <c r="D235" t="s">
        <v>456</v>
      </c>
      <c r="E235" t="s">
        <v>1113</v>
      </c>
      <c r="F235" s="8" t="s">
        <v>1114</v>
      </c>
      <c r="G235" s="14">
        <v>51.6</v>
      </c>
      <c r="H235" t="s">
        <v>1115</v>
      </c>
      <c r="I235" t="s">
        <v>1116</v>
      </c>
      <c r="J235" s="7">
        <v>3.5</v>
      </c>
      <c r="L235" s="15">
        <v>45653</v>
      </c>
    </row>
    <row r="236" spans="1:12">
      <c r="A236" s="8">
        <v>235</v>
      </c>
      <c r="B236" t="s">
        <v>37</v>
      </c>
      <c r="C236" t="s">
        <v>21</v>
      </c>
      <c r="D236" t="s">
        <v>1117</v>
      </c>
      <c r="E236" t="s">
        <v>1118</v>
      </c>
      <c r="F236" s="8" t="s">
        <v>1114</v>
      </c>
      <c r="G236" s="14">
        <v>51.6</v>
      </c>
      <c r="H236" t="s">
        <v>1096</v>
      </c>
      <c r="I236" t="s">
        <v>1119</v>
      </c>
      <c r="J236" s="7" t="s">
        <v>20</v>
      </c>
      <c r="L236" s="15">
        <v>45653</v>
      </c>
    </row>
    <row r="237" spans="1:12">
      <c r="A237" s="8">
        <v>236</v>
      </c>
      <c r="B237" t="s">
        <v>37</v>
      </c>
      <c r="C237" t="s">
        <v>21</v>
      </c>
      <c r="D237" t="s">
        <v>1120</v>
      </c>
      <c r="E237" t="s">
        <v>1121</v>
      </c>
      <c r="F237" s="8" t="s">
        <v>1122</v>
      </c>
      <c r="G237" s="14">
        <v>84</v>
      </c>
      <c r="H237" t="s">
        <v>1123</v>
      </c>
      <c r="I237" t="s">
        <v>404</v>
      </c>
      <c r="J237" s="20" t="s">
        <v>1124</v>
      </c>
      <c r="L237" s="15">
        <v>45653</v>
      </c>
    </row>
    <row r="238" spans="1:12">
      <c r="A238" s="8">
        <v>237</v>
      </c>
      <c r="B238" t="s">
        <v>37</v>
      </c>
      <c r="C238" t="s">
        <v>1125</v>
      </c>
      <c r="D238" t="s">
        <v>1126</v>
      </c>
      <c r="E238" t="s">
        <v>1127</v>
      </c>
      <c r="F238" s="8" t="s">
        <v>1128</v>
      </c>
      <c r="G238" s="14">
        <v>74</v>
      </c>
      <c r="H238" t="s">
        <v>1129</v>
      </c>
      <c r="I238" t="s">
        <v>1130</v>
      </c>
      <c r="J238" s="7">
        <v>3.5</v>
      </c>
      <c r="L238" s="15">
        <v>45653</v>
      </c>
    </row>
    <row r="239" spans="1:12">
      <c r="A239" s="8">
        <v>238</v>
      </c>
      <c r="B239" t="s">
        <v>37</v>
      </c>
      <c r="C239" t="s">
        <v>21</v>
      </c>
      <c r="D239" t="s">
        <v>1131</v>
      </c>
      <c r="E239" t="s">
        <v>1132</v>
      </c>
      <c r="F239" s="8" t="s">
        <v>227</v>
      </c>
      <c r="G239" s="6">
        <v>24</v>
      </c>
      <c r="H239" t="s">
        <v>911</v>
      </c>
      <c r="I239" t="s">
        <v>1133</v>
      </c>
      <c r="J239" s="7" t="s">
        <v>502</v>
      </c>
      <c r="L239" s="15">
        <v>45653</v>
      </c>
    </row>
    <row r="240" spans="1:12">
      <c r="A240" s="8">
        <v>239</v>
      </c>
      <c r="B240" t="s">
        <v>1134</v>
      </c>
      <c r="C240" t="s">
        <v>1135</v>
      </c>
      <c r="D240" t="s">
        <v>1136</v>
      </c>
      <c r="E240" t="s">
        <v>1137</v>
      </c>
      <c r="F240" s="8" t="s">
        <v>1138</v>
      </c>
      <c r="G240" s="6">
        <v>23</v>
      </c>
      <c r="H240" t="s">
        <v>35</v>
      </c>
      <c r="I240" t="s">
        <v>1139</v>
      </c>
      <c r="J240" s="7">
        <v>4</v>
      </c>
      <c r="L240" s="15">
        <v>45654</v>
      </c>
    </row>
    <row r="241" spans="1:12">
      <c r="A241" s="8">
        <v>240</v>
      </c>
      <c r="B241" t="s">
        <v>1140</v>
      </c>
      <c r="C241" t="s">
        <v>21</v>
      </c>
      <c r="D241" t="s">
        <v>1141</v>
      </c>
      <c r="E241" t="s">
        <v>1142</v>
      </c>
      <c r="F241" s="8" t="s">
        <v>1143</v>
      </c>
      <c r="G241" s="14">
        <v>102.4</v>
      </c>
      <c r="H241" t="s">
        <v>1144</v>
      </c>
      <c r="I241" t="s">
        <v>1145</v>
      </c>
      <c r="J241" s="20" t="s">
        <v>455</v>
      </c>
      <c r="L241" s="15">
        <v>45654</v>
      </c>
    </row>
    <row r="242" spans="1:12">
      <c r="A242" s="8">
        <v>241</v>
      </c>
      <c r="B242" t="s">
        <v>1146</v>
      </c>
      <c r="C242" t="s">
        <v>21</v>
      </c>
      <c r="D242" t="s">
        <v>1147</v>
      </c>
      <c r="E242" t="s">
        <v>1148</v>
      </c>
      <c r="F242" s="8" t="s">
        <v>1149</v>
      </c>
      <c r="G242" s="6">
        <v>24.2</v>
      </c>
      <c r="H242" t="s">
        <v>425</v>
      </c>
      <c r="I242" t="s">
        <v>1150</v>
      </c>
      <c r="J242" s="7" t="s">
        <v>144</v>
      </c>
      <c r="K242" t="s">
        <v>817</v>
      </c>
      <c r="L242" s="15">
        <v>45654</v>
      </c>
    </row>
    <row r="243" spans="1:12">
      <c r="A243" s="8">
        <v>242</v>
      </c>
      <c r="B243" t="s">
        <v>1027</v>
      </c>
      <c r="C243" t="s">
        <v>21</v>
      </c>
      <c r="D243" t="s">
        <v>1151</v>
      </c>
      <c r="E243" t="s">
        <v>1152</v>
      </c>
      <c r="F243" s="8" t="s">
        <v>1153</v>
      </c>
      <c r="G243" s="6">
        <v>28.6</v>
      </c>
      <c r="H243" t="s">
        <v>1154</v>
      </c>
      <c r="I243" t="s">
        <v>1155</v>
      </c>
      <c r="J243" s="7" t="s">
        <v>144</v>
      </c>
      <c r="K243" t="s">
        <v>145</v>
      </c>
      <c r="L243" s="15">
        <v>45654</v>
      </c>
    </row>
    <row r="244" spans="1:12">
      <c r="A244" s="8">
        <v>243</v>
      </c>
      <c r="B244" t="s">
        <v>1140</v>
      </c>
      <c r="C244" t="s">
        <v>14</v>
      </c>
      <c r="D244" t="s">
        <v>1156</v>
      </c>
      <c r="E244" t="s">
        <v>1157</v>
      </c>
      <c r="F244" s="8" t="s">
        <v>1158</v>
      </c>
      <c r="G244" s="14">
        <v>70.4</v>
      </c>
      <c r="H244" t="s">
        <v>1159</v>
      </c>
      <c r="I244" t="s">
        <v>1160</v>
      </c>
      <c r="J244" s="20" t="s">
        <v>455</v>
      </c>
      <c r="L244" s="15">
        <v>45656</v>
      </c>
    </row>
    <row r="245" spans="1:12">
      <c r="A245" s="8">
        <v>244</v>
      </c>
      <c r="B245" t="s">
        <v>1161</v>
      </c>
      <c r="C245" t="s">
        <v>21</v>
      </c>
      <c r="D245" t="s">
        <v>1162</v>
      </c>
      <c r="E245" t="s">
        <v>1163</v>
      </c>
      <c r="F245" s="8" t="s">
        <v>674</v>
      </c>
      <c r="G245" s="6">
        <v>34.8</v>
      </c>
      <c r="H245" t="s">
        <v>522</v>
      </c>
      <c r="I245" t="s">
        <v>1164</v>
      </c>
      <c r="J245" s="7">
        <v>3.5</v>
      </c>
      <c r="L245" s="15">
        <v>45656</v>
      </c>
    </row>
    <row r="246" spans="1:12">
      <c r="A246" s="8">
        <v>245</v>
      </c>
      <c r="B246" t="s">
        <v>1165</v>
      </c>
      <c r="C246" t="s">
        <v>14</v>
      </c>
      <c r="D246" t="s">
        <v>1166</v>
      </c>
      <c r="E246" t="s">
        <v>1167</v>
      </c>
      <c r="F246" s="8" t="s">
        <v>227</v>
      </c>
      <c r="G246" s="6">
        <v>24</v>
      </c>
      <c r="H246" t="s">
        <v>1168</v>
      </c>
      <c r="I246" t="s">
        <v>1169</v>
      </c>
      <c r="J246" s="7">
        <v>3.5</v>
      </c>
      <c r="L246" s="15">
        <v>45656</v>
      </c>
    </row>
    <row r="247" spans="1:12">
      <c r="A247" s="8">
        <v>246</v>
      </c>
      <c r="B247" t="s">
        <v>1170</v>
      </c>
      <c r="C247" t="s">
        <v>21</v>
      </c>
      <c r="D247" t="s">
        <v>1171</v>
      </c>
      <c r="E247" t="s">
        <v>1172</v>
      </c>
      <c r="F247" s="8" t="s">
        <v>751</v>
      </c>
      <c r="G247" s="6">
        <v>30.4</v>
      </c>
      <c r="H247" t="s">
        <v>1173</v>
      </c>
      <c r="I247" t="s">
        <v>1174</v>
      </c>
      <c r="J247" s="20" t="s">
        <v>455</v>
      </c>
      <c r="K247" t="s">
        <v>817</v>
      </c>
      <c r="L247" s="15">
        <v>45656</v>
      </c>
    </row>
    <row r="248" spans="1:12">
      <c r="A248" s="8">
        <v>247</v>
      </c>
      <c r="B248" t="s">
        <v>1027</v>
      </c>
      <c r="C248" t="s">
        <v>14</v>
      </c>
      <c r="D248" t="s">
        <v>275</v>
      </c>
      <c r="E248" t="s">
        <v>1175</v>
      </c>
      <c r="F248" s="8" t="s">
        <v>1176</v>
      </c>
      <c r="G248" s="14">
        <v>57.7</v>
      </c>
      <c r="H248" t="s">
        <v>1177</v>
      </c>
      <c r="I248" t="s">
        <v>30</v>
      </c>
      <c r="J248" s="21">
        <v>5</v>
      </c>
      <c r="L248" s="15">
        <v>45672</v>
      </c>
    </row>
    <row r="249" spans="1:12">
      <c r="A249" s="8">
        <v>248</v>
      </c>
      <c r="B249" t="s">
        <v>473</v>
      </c>
      <c r="C249" t="s">
        <v>21</v>
      </c>
      <c r="D249" t="s">
        <v>1178</v>
      </c>
      <c r="E249" t="s">
        <v>1179</v>
      </c>
      <c r="F249" s="8" t="s">
        <v>820</v>
      </c>
      <c r="G249" s="6">
        <v>43.6</v>
      </c>
      <c r="H249" t="s">
        <v>1180</v>
      </c>
      <c r="I249" t="s">
        <v>1181</v>
      </c>
      <c r="J249" s="7">
        <v>4</v>
      </c>
      <c r="K249" t="s">
        <v>1182</v>
      </c>
      <c r="L249" s="15">
        <v>45671</v>
      </c>
    </row>
    <row r="250" spans="1:12">
      <c r="A250" s="8">
        <v>249</v>
      </c>
      <c r="B250" t="s">
        <v>310</v>
      </c>
      <c r="C250" t="s">
        <v>21</v>
      </c>
      <c r="D250" t="s">
        <v>1183</v>
      </c>
      <c r="E250" t="s">
        <v>1184</v>
      </c>
      <c r="F250" s="8" t="s">
        <v>210</v>
      </c>
      <c r="G250" s="6">
        <v>25.6</v>
      </c>
      <c r="H250" t="s">
        <v>1168</v>
      </c>
      <c r="I250" t="s">
        <v>325</v>
      </c>
      <c r="J250" s="7">
        <v>3.5</v>
      </c>
      <c r="L250" s="15">
        <v>45671</v>
      </c>
    </row>
    <row r="251" spans="1:12">
      <c r="A251" s="8">
        <v>250</v>
      </c>
      <c r="B251" t="s">
        <v>913</v>
      </c>
      <c r="C251" t="s">
        <v>21</v>
      </c>
      <c r="D251" s="8" t="s">
        <v>1185</v>
      </c>
      <c r="E251" t="s">
        <v>1186</v>
      </c>
      <c r="F251" s="8" t="s">
        <v>1187</v>
      </c>
      <c r="G251" s="6">
        <v>30</v>
      </c>
      <c r="H251" t="s">
        <v>24</v>
      </c>
      <c r="I251" t="s">
        <v>274</v>
      </c>
      <c r="J251" s="17">
        <v>3</v>
      </c>
      <c r="L251" s="15">
        <v>45671</v>
      </c>
    </row>
    <row r="252" spans="1:12">
      <c r="A252" s="8">
        <v>251</v>
      </c>
      <c r="B252" t="s">
        <v>139</v>
      </c>
      <c r="C252" t="s">
        <v>21</v>
      </c>
      <c r="D252" t="s">
        <v>1188</v>
      </c>
      <c r="E252" t="s">
        <v>1189</v>
      </c>
      <c r="F252" s="8" t="s">
        <v>248</v>
      </c>
      <c r="G252" s="14">
        <v>52.5</v>
      </c>
      <c r="H252" t="s">
        <v>739</v>
      </c>
      <c r="I252" t="s">
        <v>1190</v>
      </c>
      <c r="J252" s="20" t="s">
        <v>603</v>
      </c>
      <c r="K252" t="s">
        <v>533</v>
      </c>
      <c r="L252" s="15">
        <v>45671</v>
      </c>
    </row>
    <row r="253" spans="1:12">
      <c r="A253" s="8">
        <v>252</v>
      </c>
      <c r="B253" t="s">
        <v>548</v>
      </c>
      <c r="C253" t="s">
        <v>21</v>
      </c>
      <c r="D253" t="s">
        <v>1191</v>
      </c>
      <c r="E253" t="s">
        <v>1192</v>
      </c>
      <c r="F253" s="8" t="s">
        <v>1193</v>
      </c>
      <c r="G253" s="13">
        <v>13.9</v>
      </c>
      <c r="H253" t="s">
        <v>1194</v>
      </c>
      <c r="I253" t="s">
        <v>1195</v>
      </c>
      <c r="J253" s="7" t="s">
        <v>144</v>
      </c>
      <c r="K253" t="s">
        <v>1196</v>
      </c>
      <c r="L253" s="15">
        <v>45677</v>
      </c>
    </row>
    <row r="254" spans="1:12">
      <c r="A254" s="8">
        <v>253</v>
      </c>
      <c r="B254" t="s">
        <v>548</v>
      </c>
      <c r="C254" t="s">
        <v>21</v>
      </c>
      <c r="D254" t="s">
        <v>1197</v>
      </c>
      <c r="E254" t="s">
        <v>1198</v>
      </c>
      <c r="F254" s="8" t="s">
        <v>1193</v>
      </c>
      <c r="G254" s="13">
        <v>13.9</v>
      </c>
      <c r="H254" t="s">
        <v>1194</v>
      </c>
      <c r="I254" t="s">
        <v>46</v>
      </c>
      <c r="J254" s="7" t="s">
        <v>144</v>
      </c>
      <c r="L254" s="15">
        <v>45677</v>
      </c>
    </row>
    <row r="255" spans="1:12">
      <c r="A255" s="8">
        <v>254</v>
      </c>
      <c r="B255" t="s">
        <v>1199</v>
      </c>
      <c r="C255" t="s">
        <v>721</v>
      </c>
      <c r="D255" t="s">
        <v>1200</v>
      </c>
      <c r="E255" t="s">
        <v>1201</v>
      </c>
      <c r="F255" s="8" t="s">
        <v>1202</v>
      </c>
      <c r="G255" s="6">
        <v>34.4</v>
      </c>
      <c r="H255" t="s">
        <v>1203</v>
      </c>
      <c r="I255" t="s">
        <v>1204</v>
      </c>
      <c r="J255" s="7">
        <v>3.5</v>
      </c>
      <c r="K255" t="s">
        <v>1205</v>
      </c>
      <c r="L255" s="15">
        <v>45677</v>
      </c>
    </row>
    <row r="256" spans="1:12">
      <c r="A256" s="8">
        <v>255</v>
      </c>
      <c r="B256" t="s">
        <v>1165</v>
      </c>
      <c r="C256" t="s">
        <v>21</v>
      </c>
      <c r="D256" t="s">
        <v>1206</v>
      </c>
      <c r="E256" t="s">
        <v>1207</v>
      </c>
      <c r="F256" s="8" t="s">
        <v>1208</v>
      </c>
      <c r="G256" s="6">
        <v>20.8</v>
      </c>
      <c r="H256" t="s">
        <v>24</v>
      </c>
      <c r="I256" t="s">
        <v>274</v>
      </c>
      <c r="J256" s="7">
        <v>3.5</v>
      </c>
      <c r="L256" s="15">
        <v>45677</v>
      </c>
    </row>
    <row r="257" spans="1:12">
      <c r="A257" s="8">
        <v>256</v>
      </c>
      <c r="B257" t="s">
        <v>473</v>
      </c>
      <c r="C257" t="s">
        <v>21</v>
      </c>
      <c r="D257" t="s">
        <v>1209</v>
      </c>
      <c r="E257" t="s">
        <v>1210</v>
      </c>
      <c r="F257" s="8" t="s">
        <v>634</v>
      </c>
      <c r="G257" s="6">
        <v>47.6</v>
      </c>
      <c r="H257" t="s">
        <v>1105</v>
      </c>
      <c r="I257" t="s">
        <v>878</v>
      </c>
      <c r="J257" s="7" t="s">
        <v>144</v>
      </c>
      <c r="L257" s="15">
        <v>45681</v>
      </c>
    </row>
    <row r="258" spans="1:12">
      <c r="A258" s="8">
        <v>257</v>
      </c>
      <c r="B258" t="s">
        <v>181</v>
      </c>
      <c r="C258" t="s">
        <v>21</v>
      </c>
      <c r="D258" t="s">
        <v>1211</v>
      </c>
      <c r="E258" t="s">
        <v>1212</v>
      </c>
      <c r="F258" s="8" t="s">
        <v>910</v>
      </c>
      <c r="G258" s="13">
        <v>17.2</v>
      </c>
      <c r="H258" t="s">
        <v>688</v>
      </c>
      <c r="I258" t="s">
        <v>1133</v>
      </c>
      <c r="J258" s="7" t="s">
        <v>502</v>
      </c>
      <c r="L258" s="15">
        <v>45681</v>
      </c>
    </row>
    <row r="259" spans="1:12">
      <c r="A259" s="8">
        <v>258</v>
      </c>
      <c r="B259" t="s">
        <v>1161</v>
      </c>
      <c r="C259" t="s">
        <v>14</v>
      </c>
      <c r="D259" t="s">
        <v>1213</v>
      </c>
      <c r="E259" t="s">
        <v>1214</v>
      </c>
      <c r="F259" s="8" t="s">
        <v>381</v>
      </c>
      <c r="G259" s="6">
        <v>37.4</v>
      </c>
      <c r="H259" t="s">
        <v>1215</v>
      </c>
      <c r="I259" t="s">
        <v>1216</v>
      </c>
      <c r="J259" s="7" t="s">
        <v>144</v>
      </c>
      <c r="L259" s="15">
        <v>45681</v>
      </c>
    </row>
    <row r="260" spans="1:12">
      <c r="A260" s="8">
        <v>259</v>
      </c>
      <c r="B260" t="s">
        <v>1217</v>
      </c>
      <c r="C260" t="s">
        <v>1218</v>
      </c>
      <c r="D260" t="s">
        <v>1219</v>
      </c>
      <c r="E260" t="s">
        <v>1220</v>
      </c>
      <c r="F260" s="8" t="s">
        <v>1221</v>
      </c>
      <c r="G260" s="14">
        <v>150</v>
      </c>
      <c r="H260" t="s">
        <v>1222</v>
      </c>
      <c r="I260" t="s">
        <v>1223</v>
      </c>
      <c r="J260" s="7" t="s">
        <v>144</v>
      </c>
      <c r="L260" s="15">
        <v>45681</v>
      </c>
    </row>
    <row r="261" spans="1:12">
      <c r="A261" s="8">
        <v>260</v>
      </c>
      <c r="B261" t="s">
        <v>31</v>
      </c>
      <c r="C261" t="s">
        <v>21</v>
      </c>
      <c r="D261" t="s">
        <v>1224</v>
      </c>
      <c r="E261" t="s">
        <v>1225</v>
      </c>
      <c r="F261" s="8" t="s">
        <v>1226</v>
      </c>
      <c r="G261" s="13">
        <v>15.9</v>
      </c>
      <c r="H261" t="s">
        <v>78</v>
      </c>
      <c r="I261" t="s">
        <v>1227</v>
      </c>
      <c r="J261" s="7" t="s">
        <v>790</v>
      </c>
      <c r="L261" s="15">
        <v>45680</v>
      </c>
    </row>
    <row r="262" spans="1:12">
      <c r="A262" s="8">
        <v>261</v>
      </c>
      <c r="B262" t="s">
        <v>122</v>
      </c>
      <c r="C262" t="s">
        <v>721</v>
      </c>
      <c r="D262" t="s">
        <v>1228</v>
      </c>
      <c r="E262" t="s">
        <v>1229</v>
      </c>
      <c r="F262" s="8" t="s">
        <v>1230</v>
      </c>
      <c r="G262" s="14">
        <v>58.5</v>
      </c>
      <c r="H262" t="s">
        <v>1105</v>
      </c>
      <c r="I262" t="s">
        <v>1231</v>
      </c>
      <c r="J262" s="7" t="s">
        <v>144</v>
      </c>
      <c r="K262" t="s">
        <v>1232</v>
      </c>
      <c r="L262" s="15">
        <v>45680</v>
      </c>
    </row>
    <row r="263" spans="1:12">
      <c r="A263" s="8">
        <v>262</v>
      </c>
      <c r="B263" t="s">
        <v>163</v>
      </c>
      <c r="C263" t="s">
        <v>721</v>
      </c>
      <c r="D263" t="s">
        <v>1233</v>
      </c>
      <c r="E263" t="s">
        <v>1234</v>
      </c>
      <c r="F263" s="8" t="s">
        <v>210</v>
      </c>
      <c r="G263" s="6">
        <v>25.6</v>
      </c>
      <c r="H263" t="s">
        <v>309</v>
      </c>
      <c r="I263" t="s">
        <v>1235</v>
      </c>
      <c r="J263" s="21">
        <v>4.5</v>
      </c>
      <c r="L263" s="15">
        <v>45680</v>
      </c>
    </row>
    <row r="264" spans="1:12">
      <c r="A264" s="8">
        <v>263</v>
      </c>
      <c r="B264" t="s">
        <v>1161</v>
      </c>
      <c r="C264" t="s">
        <v>21</v>
      </c>
      <c r="D264" t="s">
        <v>1236</v>
      </c>
      <c r="E264" t="s">
        <v>1237</v>
      </c>
      <c r="F264" s="8" t="s">
        <v>420</v>
      </c>
      <c r="G264" s="6">
        <v>20.9</v>
      </c>
      <c r="H264" t="s">
        <v>1238</v>
      </c>
      <c r="I264" t="s">
        <v>1239</v>
      </c>
      <c r="J264" s="17">
        <v>2.5</v>
      </c>
      <c r="L264" s="15">
        <v>45680</v>
      </c>
    </row>
    <row r="265" spans="1:12">
      <c r="A265" s="8">
        <v>264</v>
      </c>
      <c r="B265" t="s">
        <v>812</v>
      </c>
      <c r="C265" t="s">
        <v>21</v>
      </c>
      <c r="D265" t="s">
        <v>643</v>
      </c>
      <c r="E265" t="s">
        <v>1240</v>
      </c>
      <c r="F265" s="8" t="s">
        <v>1241</v>
      </c>
      <c r="G265" s="6">
        <v>27.5</v>
      </c>
      <c r="H265" t="s">
        <v>1242</v>
      </c>
      <c r="I265" t="s">
        <v>274</v>
      </c>
      <c r="J265" s="7">
        <v>4</v>
      </c>
      <c r="L265" s="15">
        <v>45698</v>
      </c>
    </row>
    <row r="266" spans="1:13">
      <c r="A266" s="8">
        <v>265</v>
      </c>
      <c r="B266" t="s">
        <v>283</v>
      </c>
      <c r="C266" t="s">
        <v>21</v>
      </c>
      <c r="D266" t="s">
        <v>1243</v>
      </c>
      <c r="E266" t="s">
        <v>1244</v>
      </c>
      <c r="F266" s="8" t="s">
        <v>1245</v>
      </c>
      <c r="G266" s="6">
        <v>20.1</v>
      </c>
      <c r="H266" t="s">
        <v>24</v>
      </c>
      <c r="I266" t="s">
        <v>1246</v>
      </c>
      <c r="J266" s="7">
        <v>3.5</v>
      </c>
      <c r="K266" t="s">
        <v>215</v>
      </c>
      <c r="L266" s="15">
        <v>45698</v>
      </c>
      <c r="M266" s="15">
        <v>45761</v>
      </c>
    </row>
    <row r="267" s="11" customFormat="1" spans="1:13">
      <c r="A267" s="23">
        <v>266</v>
      </c>
      <c r="B267" s="11" t="s">
        <v>122</v>
      </c>
      <c r="C267" s="11" t="s">
        <v>14</v>
      </c>
      <c r="D267" s="11" t="s">
        <v>1247</v>
      </c>
      <c r="E267" s="11" t="s">
        <v>1248</v>
      </c>
      <c r="F267" s="23" t="s">
        <v>1249</v>
      </c>
      <c r="G267" s="25">
        <v>32.6</v>
      </c>
      <c r="H267" s="11" t="s">
        <v>774</v>
      </c>
      <c r="I267" s="11" t="s">
        <v>1250</v>
      </c>
      <c r="J267" s="29">
        <v>4.5</v>
      </c>
      <c r="L267" s="30">
        <v>45474</v>
      </c>
      <c r="M267" s="30">
        <v>45683</v>
      </c>
    </row>
    <row r="268" spans="1:12">
      <c r="A268" s="8">
        <v>267</v>
      </c>
      <c r="B268" t="s">
        <v>64</v>
      </c>
      <c r="C268" t="s">
        <v>21</v>
      </c>
      <c r="D268" t="s">
        <v>1251</v>
      </c>
      <c r="E268" t="s">
        <v>1252</v>
      </c>
      <c r="F268" s="8" t="s">
        <v>692</v>
      </c>
      <c r="G268" s="6">
        <v>30.8</v>
      </c>
      <c r="H268" t="s">
        <v>946</v>
      </c>
      <c r="I268" t="s">
        <v>1253</v>
      </c>
      <c r="J268" s="7">
        <v>4</v>
      </c>
      <c r="L268" s="15">
        <v>45698</v>
      </c>
    </row>
    <row r="269" spans="1:12">
      <c r="A269" s="8">
        <v>268</v>
      </c>
      <c r="B269" t="s">
        <v>31</v>
      </c>
      <c r="C269" t="s">
        <v>21</v>
      </c>
      <c r="D269" t="s">
        <v>1254</v>
      </c>
      <c r="E269" t="s">
        <v>1255</v>
      </c>
      <c r="F269" s="8" t="s">
        <v>1256</v>
      </c>
      <c r="G269" s="6">
        <v>20.2</v>
      </c>
      <c r="H269" t="s">
        <v>1257</v>
      </c>
      <c r="I269" t="s">
        <v>1258</v>
      </c>
      <c r="J269" s="7" t="s">
        <v>144</v>
      </c>
      <c r="L269" s="15">
        <v>45698</v>
      </c>
    </row>
    <row r="270" spans="1:12">
      <c r="A270" s="8">
        <v>269</v>
      </c>
      <c r="B270" t="s">
        <v>139</v>
      </c>
      <c r="C270" t="s">
        <v>21</v>
      </c>
      <c r="D270" t="s">
        <v>1259</v>
      </c>
      <c r="E270" t="s">
        <v>1260</v>
      </c>
      <c r="F270" s="8" t="s">
        <v>268</v>
      </c>
      <c r="G270" s="6">
        <v>31.6</v>
      </c>
      <c r="H270" t="s">
        <v>1261</v>
      </c>
      <c r="I270" t="s">
        <v>1262</v>
      </c>
      <c r="J270" s="7" t="s">
        <v>144</v>
      </c>
      <c r="K270" t="s">
        <v>567</v>
      </c>
      <c r="L270" s="15">
        <v>45705</v>
      </c>
    </row>
    <row r="271" spans="1:12">
      <c r="A271" s="8">
        <v>270</v>
      </c>
      <c r="B271" t="s">
        <v>122</v>
      </c>
      <c r="C271" t="s">
        <v>14</v>
      </c>
      <c r="D271" t="s">
        <v>1263</v>
      </c>
      <c r="E271" t="s">
        <v>1264</v>
      </c>
      <c r="F271" s="8" t="s">
        <v>1265</v>
      </c>
      <c r="G271" s="14">
        <v>62</v>
      </c>
      <c r="H271" t="s">
        <v>1266</v>
      </c>
      <c r="I271" t="s">
        <v>1267</v>
      </c>
      <c r="J271" s="7" t="s">
        <v>144</v>
      </c>
      <c r="L271" s="15">
        <v>45705</v>
      </c>
    </row>
    <row r="272" spans="1:12">
      <c r="A272" s="8">
        <v>271</v>
      </c>
      <c r="B272" t="s">
        <v>97</v>
      </c>
      <c r="C272" t="s">
        <v>1218</v>
      </c>
      <c r="D272" t="s">
        <v>1268</v>
      </c>
      <c r="E272" t="s">
        <v>1269</v>
      </c>
      <c r="F272" s="8" t="s">
        <v>1270</v>
      </c>
      <c r="G272" s="14">
        <v>99</v>
      </c>
      <c r="H272" t="s">
        <v>1271</v>
      </c>
      <c r="I272" t="s">
        <v>1272</v>
      </c>
      <c r="J272" s="7" t="s">
        <v>20</v>
      </c>
      <c r="K272" t="s">
        <v>567</v>
      </c>
      <c r="L272" s="15">
        <v>45705</v>
      </c>
    </row>
    <row r="273" spans="1:13">
      <c r="A273" s="8">
        <v>272</v>
      </c>
      <c r="B273" t="s">
        <v>473</v>
      </c>
      <c r="C273" t="s">
        <v>21</v>
      </c>
      <c r="D273" t="s">
        <v>1273</v>
      </c>
      <c r="E273" t="s">
        <v>1274</v>
      </c>
      <c r="F273" s="8" t="s">
        <v>1275</v>
      </c>
      <c r="G273" s="14">
        <v>51.1</v>
      </c>
      <c r="H273" t="s">
        <v>1276</v>
      </c>
      <c r="I273" t="s">
        <v>1277</v>
      </c>
      <c r="J273" s="7" t="s">
        <v>20</v>
      </c>
      <c r="K273" t="s">
        <v>215</v>
      </c>
      <c r="L273" s="15">
        <v>45705</v>
      </c>
      <c r="M273" s="15">
        <v>45787</v>
      </c>
    </row>
    <row r="274" spans="1:12">
      <c r="A274" s="8">
        <v>273</v>
      </c>
      <c r="B274" t="s">
        <v>330</v>
      </c>
      <c r="C274" t="s">
        <v>115</v>
      </c>
      <c r="D274" t="s">
        <v>1278</v>
      </c>
      <c r="E274" t="s">
        <v>1279</v>
      </c>
      <c r="F274" s="8" t="s">
        <v>564</v>
      </c>
      <c r="G274" s="6">
        <v>39</v>
      </c>
      <c r="H274" t="s">
        <v>565</v>
      </c>
      <c r="I274" t="s">
        <v>1280</v>
      </c>
      <c r="J274" s="7" t="s">
        <v>144</v>
      </c>
      <c r="L274" s="15">
        <v>45709</v>
      </c>
    </row>
    <row r="275" spans="1:12">
      <c r="A275" s="8">
        <v>274</v>
      </c>
      <c r="B275" t="s">
        <v>780</v>
      </c>
      <c r="C275" t="s">
        <v>115</v>
      </c>
      <c r="D275" t="s">
        <v>1281</v>
      </c>
      <c r="E275" t="s">
        <v>1282</v>
      </c>
      <c r="F275" s="8" t="s">
        <v>323</v>
      </c>
      <c r="G275" s="6">
        <v>27.8</v>
      </c>
      <c r="H275" t="s">
        <v>1283</v>
      </c>
      <c r="I275" t="s">
        <v>1284</v>
      </c>
      <c r="J275" s="7">
        <v>3.5</v>
      </c>
      <c r="L275" s="15">
        <v>45709</v>
      </c>
    </row>
    <row r="276" spans="1:12">
      <c r="A276" s="8">
        <v>275</v>
      </c>
      <c r="B276" t="s">
        <v>1285</v>
      </c>
      <c r="C276" t="s">
        <v>14</v>
      </c>
      <c r="D276" t="s">
        <v>1286</v>
      </c>
      <c r="E276" t="s">
        <v>1287</v>
      </c>
      <c r="F276" s="8" t="s">
        <v>170</v>
      </c>
      <c r="G276" s="6">
        <v>36</v>
      </c>
      <c r="H276" t="s">
        <v>1288</v>
      </c>
      <c r="I276" t="s">
        <v>1289</v>
      </c>
      <c r="J276" s="20" t="s">
        <v>1124</v>
      </c>
      <c r="K276" t="s">
        <v>1290</v>
      </c>
      <c r="L276" s="15">
        <v>45709</v>
      </c>
    </row>
    <row r="277" spans="1:12">
      <c r="A277" s="8">
        <v>276</v>
      </c>
      <c r="B277" t="s">
        <v>780</v>
      </c>
      <c r="C277" t="s">
        <v>21</v>
      </c>
      <c r="D277" t="s">
        <v>1291</v>
      </c>
      <c r="E277" t="s">
        <v>1292</v>
      </c>
      <c r="F277" s="8" t="s">
        <v>1293</v>
      </c>
      <c r="G277" s="13">
        <v>15.8</v>
      </c>
      <c r="H277" t="s">
        <v>1294</v>
      </c>
      <c r="I277" t="s">
        <v>1295</v>
      </c>
      <c r="J277" s="17">
        <v>3</v>
      </c>
      <c r="L277" s="15">
        <v>45709</v>
      </c>
    </row>
    <row r="278" spans="1:12">
      <c r="A278" s="8">
        <v>277</v>
      </c>
      <c r="B278" t="s">
        <v>85</v>
      </c>
      <c r="C278" t="s">
        <v>21</v>
      </c>
      <c r="D278" t="s">
        <v>1296</v>
      </c>
      <c r="E278" t="s">
        <v>1297</v>
      </c>
      <c r="F278" s="8">
        <v>81.25</v>
      </c>
      <c r="G278" s="6">
        <v>32.4</v>
      </c>
      <c r="H278" t="s">
        <v>1298</v>
      </c>
      <c r="I278" t="s">
        <v>527</v>
      </c>
      <c r="J278" s="7">
        <v>4</v>
      </c>
      <c r="K278" t="s">
        <v>1299</v>
      </c>
      <c r="L278" s="15">
        <v>45716</v>
      </c>
    </row>
    <row r="279" spans="1:12">
      <c r="A279" s="8">
        <v>278</v>
      </c>
      <c r="B279" t="s">
        <v>1300</v>
      </c>
      <c r="C279" t="s">
        <v>14</v>
      </c>
      <c r="D279" t="s">
        <v>1301</v>
      </c>
      <c r="E279" t="s">
        <v>1302</v>
      </c>
      <c r="F279" s="8" t="s">
        <v>1303</v>
      </c>
      <c r="G279" s="14">
        <v>79.5</v>
      </c>
      <c r="H279" t="s">
        <v>24</v>
      </c>
      <c r="I279" t="s">
        <v>836</v>
      </c>
      <c r="J279" s="18" t="s">
        <v>152</v>
      </c>
      <c r="L279" s="15">
        <v>45716</v>
      </c>
    </row>
    <row r="280" spans="1:12">
      <c r="A280" s="8">
        <v>279</v>
      </c>
      <c r="B280" t="s">
        <v>1300</v>
      </c>
      <c r="C280" t="s">
        <v>21</v>
      </c>
      <c r="D280" t="s">
        <v>643</v>
      </c>
      <c r="E280" t="s">
        <v>1304</v>
      </c>
      <c r="F280" s="8" t="s">
        <v>1303</v>
      </c>
      <c r="G280" s="14">
        <v>79.5</v>
      </c>
      <c r="H280" t="s">
        <v>659</v>
      </c>
      <c r="I280" t="s">
        <v>1305</v>
      </c>
      <c r="J280" s="17">
        <v>2.5</v>
      </c>
      <c r="L280" s="15">
        <v>45716</v>
      </c>
    </row>
    <row r="281" spans="1:12">
      <c r="A281" s="8">
        <v>280</v>
      </c>
      <c r="B281" t="s">
        <v>1285</v>
      </c>
      <c r="C281" t="s">
        <v>553</v>
      </c>
      <c r="D281" t="s">
        <v>1306</v>
      </c>
      <c r="E281" t="s">
        <v>1307</v>
      </c>
      <c r="F281" s="8" t="s">
        <v>564</v>
      </c>
      <c r="G281" s="6">
        <v>39</v>
      </c>
      <c r="H281" t="s">
        <v>1308</v>
      </c>
      <c r="I281" t="s">
        <v>1309</v>
      </c>
      <c r="J281" s="7">
        <v>3.5</v>
      </c>
      <c r="K281" t="s">
        <v>145</v>
      </c>
      <c r="L281" s="15">
        <v>45716</v>
      </c>
    </row>
    <row r="282" spans="1:13">
      <c r="A282" s="8">
        <v>281</v>
      </c>
      <c r="B282" t="s">
        <v>803</v>
      </c>
      <c r="C282" t="s">
        <v>14</v>
      </c>
      <c r="D282" t="s">
        <v>1310</v>
      </c>
      <c r="E282" t="s">
        <v>1311</v>
      </c>
      <c r="F282" s="8" t="s">
        <v>1312</v>
      </c>
      <c r="G282" s="6">
        <v>47.6</v>
      </c>
      <c r="H282" t="s">
        <v>742</v>
      </c>
      <c r="I282" t="s">
        <v>1313</v>
      </c>
      <c r="J282" s="7" t="s">
        <v>20</v>
      </c>
      <c r="L282" s="15">
        <v>45719</v>
      </c>
      <c r="M282" s="15">
        <v>45807</v>
      </c>
    </row>
    <row r="283" spans="1:12">
      <c r="A283" s="8">
        <v>282</v>
      </c>
      <c r="B283" t="s">
        <v>803</v>
      </c>
      <c r="C283" t="s">
        <v>14</v>
      </c>
      <c r="D283" t="s">
        <v>1314</v>
      </c>
      <c r="E283" t="s">
        <v>1315</v>
      </c>
      <c r="F283" s="26" t="s">
        <v>1316</v>
      </c>
      <c r="G283" s="6">
        <v>30</v>
      </c>
      <c r="H283" t="s">
        <v>1317</v>
      </c>
      <c r="I283" t="s">
        <v>1318</v>
      </c>
      <c r="J283" s="20" t="s">
        <v>603</v>
      </c>
      <c r="K283" t="s">
        <v>1319</v>
      </c>
      <c r="L283" s="15">
        <v>45719</v>
      </c>
    </row>
    <row r="284" spans="1:12">
      <c r="A284" s="8">
        <v>283</v>
      </c>
      <c r="B284" t="s">
        <v>803</v>
      </c>
      <c r="C284" t="s">
        <v>14</v>
      </c>
      <c r="D284" t="s">
        <v>1320</v>
      </c>
      <c r="E284" t="s">
        <v>1321</v>
      </c>
      <c r="F284" s="8" t="s">
        <v>1322</v>
      </c>
      <c r="G284" s="6">
        <v>36</v>
      </c>
      <c r="H284" t="s">
        <v>1323</v>
      </c>
      <c r="I284" t="s">
        <v>1324</v>
      </c>
      <c r="J284" s="21">
        <v>5</v>
      </c>
      <c r="K284" t="s">
        <v>1325</v>
      </c>
      <c r="L284" s="15">
        <v>45719</v>
      </c>
    </row>
    <row r="285" spans="1:12">
      <c r="A285" s="8">
        <v>284</v>
      </c>
      <c r="B285" t="s">
        <v>1326</v>
      </c>
      <c r="C285" t="s">
        <v>14</v>
      </c>
      <c r="D285" t="s">
        <v>1327</v>
      </c>
      <c r="E285" t="s">
        <v>940</v>
      </c>
      <c r="F285" s="8" t="s">
        <v>692</v>
      </c>
      <c r="G285" s="6">
        <v>30.8</v>
      </c>
      <c r="H285" t="s">
        <v>1328</v>
      </c>
      <c r="I285" t="s">
        <v>1329</v>
      </c>
      <c r="J285" s="7" t="s">
        <v>144</v>
      </c>
      <c r="L285" s="15">
        <v>45733</v>
      </c>
    </row>
    <row r="286" spans="1:12">
      <c r="A286" s="8">
        <v>285</v>
      </c>
      <c r="B286" t="s">
        <v>1330</v>
      </c>
      <c r="C286" t="s">
        <v>14</v>
      </c>
      <c r="D286" t="s">
        <v>661</v>
      </c>
      <c r="E286" t="s">
        <v>1331</v>
      </c>
      <c r="F286" s="8" t="s">
        <v>1332</v>
      </c>
      <c r="G286" s="6">
        <v>32</v>
      </c>
      <c r="H286" t="s">
        <v>1333</v>
      </c>
      <c r="I286" t="s">
        <v>1334</v>
      </c>
      <c r="J286" s="7" t="s">
        <v>144</v>
      </c>
      <c r="K286" t="s">
        <v>1325</v>
      </c>
      <c r="L286" s="15">
        <v>45733</v>
      </c>
    </row>
    <row r="287" spans="1:12">
      <c r="A287" s="8">
        <v>286</v>
      </c>
      <c r="B287" t="s">
        <v>1330</v>
      </c>
      <c r="C287" t="s">
        <v>115</v>
      </c>
      <c r="D287" t="s">
        <v>1335</v>
      </c>
      <c r="E287" t="s">
        <v>1336</v>
      </c>
      <c r="F287" s="8" t="s">
        <v>50</v>
      </c>
      <c r="G287" s="6">
        <v>34</v>
      </c>
      <c r="H287" t="s">
        <v>1337</v>
      </c>
      <c r="I287" t="s">
        <v>1338</v>
      </c>
      <c r="J287" s="7" t="s">
        <v>790</v>
      </c>
      <c r="L287" s="15">
        <v>45733</v>
      </c>
    </row>
    <row r="288" spans="1:14">
      <c r="A288" s="8">
        <v>287</v>
      </c>
      <c r="B288" t="s">
        <v>246</v>
      </c>
      <c r="C288" t="s">
        <v>14</v>
      </c>
      <c r="D288" t="s">
        <v>1339</v>
      </c>
      <c r="E288" t="s">
        <v>1340</v>
      </c>
      <c r="F288" s="8" t="s">
        <v>1341</v>
      </c>
      <c r="G288" s="13">
        <v>17.5</v>
      </c>
      <c r="H288" t="s">
        <v>1342</v>
      </c>
      <c r="I288" t="s">
        <v>552</v>
      </c>
      <c r="J288" s="7" t="s">
        <v>144</v>
      </c>
      <c r="K288" t="s">
        <v>215</v>
      </c>
      <c r="L288" s="15">
        <v>45733</v>
      </c>
      <c r="M288" s="15">
        <v>45799</v>
      </c>
      <c r="N288" s="15">
        <v>45814</v>
      </c>
    </row>
    <row r="289" spans="1:12">
      <c r="A289" s="8">
        <v>288</v>
      </c>
      <c r="B289" t="s">
        <v>1343</v>
      </c>
      <c r="C289" t="s">
        <v>390</v>
      </c>
      <c r="D289" t="s">
        <v>1344</v>
      </c>
      <c r="E289" t="s">
        <v>1345</v>
      </c>
      <c r="F289" s="8" t="s">
        <v>88</v>
      </c>
      <c r="G289" s="6">
        <v>38.4</v>
      </c>
      <c r="H289" t="s">
        <v>1346</v>
      </c>
      <c r="I289" t="s">
        <v>62</v>
      </c>
      <c r="J289" s="20" t="s">
        <v>1124</v>
      </c>
      <c r="L289" s="15">
        <v>45740</v>
      </c>
    </row>
    <row r="290" spans="1:12">
      <c r="A290" s="8">
        <v>289</v>
      </c>
      <c r="B290" t="s">
        <v>1343</v>
      </c>
      <c r="C290" t="s">
        <v>1125</v>
      </c>
      <c r="D290" t="s">
        <v>1347</v>
      </c>
      <c r="E290" t="s">
        <v>1348</v>
      </c>
      <c r="F290" s="8" t="s">
        <v>1349</v>
      </c>
      <c r="G290" s="14">
        <v>77.2</v>
      </c>
      <c r="H290" t="s">
        <v>1350</v>
      </c>
      <c r="I290" t="s">
        <v>1351</v>
      </c>
      <c r="J290" s="7" t="s">
        <v>144</v>
      </c>
      <c r="K290" t="s">
        <v>479</v>
      </c>
      <c r="L290" s="15">
        <v>45740</v>
      </c>
    </row>
    <row r="291" spans="1:12">
      <c r="A291" s="8">
        <v>290</v>
      </c>
      <c r="B291" t="s">
        <v>1343</v>
      </c>
      <c r="C291" t="s">
        <v>21</v>
      </c>
      <c r="D291" t="s">
        <v>1352</v>
      </c>
      <c r="E291" t="s">
        <v>1353</v>
      </c>
      <c r="F291" s="8" t="s">
        <v>1354</v>
      </c>
      <c r="G291" s="13">
        <v>16.8</v>
      </c>
      <c r="H291" t="s">
        <v>1355</v>
      </c>
      <c r="I291" t="s">
        <v>1356</v>
      </c>
      <c r="J291" s="7" t="s">
        <v>144</v>
      </c>
      <c r="L291" s="15">
        <v>45740</v>
      </c>
    </row>
    <row r="292" spans="1:12">
      <c r="A292" s="8">
        <v>291</v>
      </c>
      <c r="B292" t="s">
        <v>139</v>
      </c>
      <c r="C292" t="s">
        <v>21</v>
      </c>
      <c r="D292" t="s">
        <v>1357</v>
      </c>
      <c r="E292" t="s">
        <v>1358</v>
      </c>
      <c r="F292" s="8" t="s">
        <v>706</v>
      </c>
      <c r="G292" s="6">
        <v>49</v>
      </c>
      <c r="H292" t="s">
        <v>1359</v>
      </c>
      <c r="I292" t="s">
        <v>1360</v>
      </c>
      <c r="J292" s="7" t="s">
        <v>20</v>
      </c>
      <c r="L292" s="15">
        <v>45742</v>
      </c>
    </row>
    <row r="293" spans="1:13">
      <c r="A293" s="8">
        <v>292</v>
      </c>
      <c r="B293" t="s">
        <v>812</v>
      </c>
      <c r="C293" t="s">
        <v>1135</v>
      </c>
      <c r="D293" t="s">
        <v>1361</v>
      </c>
      <c r="E293" t="s">
        <v>1362</v>
      </c>
      <c r="F293" s="8" t="s">
        <v>190</v>
      </c>
      <c r="G293" s="6">
        <v>29</v>
      </c>
      <c r="H293" t="s">
        <v>1363</v>
      </c>
      <c r="I293" t="s">
        <v>1364</v>
      </c>
      <c r="J293" s="7">
        <v>4</v>
      </c>
      <c r="L293" s="15">
        <v>45742</v>
      </c>
      <c r="M293" s="15">
        <v>45799</v>
      </c>
    </row>
    <row r="294" spans="1:12">
      <c r="A294" s="8">
        <v>293</v>
      </c>
      <c r="B294" t="s">
        <v>85</v>
      </c>
      <c r="C294" t="s">
        <v>14</v>
      </c>
      <c r="D294" t="s">
        <v>1365</v>
      </c>
      <c r="E294" t="s">
        <v>1366</v>
      </c>
      <c r="F294" s="8" t="s">
        <v>1367</v>
      </c>
      <c r="G294" s="6">
        <v>49.2</v>
      </c>
      <c r="H294" t="s">
        <v>1368</v>
      </c>
      <c r="I294" t="s">
        <v>1369</v>
      </c>
      <c r="J294" s="21">
        <v>4.5</v>
      </c>
      <c r="K294" t="s">
        <v>145</v>
      </c>
      <c r="L294" s="15">
        <v>45742</v>
      </c>
    </row>
    <row r="295" spans="1:12">
      <c r="A295" s="8">
        <v>294</v>
      </c>
      <c r="B295" t="s">
        <v>1370</v>
      </c>
      <c r="C295" t="s">
        <v>14</v>
      </c>
      <c r="D295" t="s">
        <v>1371</v>
      </c>
      <c r="E295" t="s">
        <v>1372</v>
      </c>
      <c r="F295" s="8" t="s">
        <v>1373</v>
      </c>
      <c r="G295" s="6">
        <v>43</v>
      </c>
      <c r="H295" t="s">
        <v>1374</v>
      </c>
      <c r="I295" t="s">
        <v>1375</v>
      </c>
      <c r="J295" s="7" t="s">
        <v>144</v>
      </c>
      <c r="K295" t="s">
        <v>215</v>
      </c>
      <c r="L295" s="15">
        <v>45744</v>
      </c>
    </row>
    <row r="296" spans="1:12">
      <c r="A296" s="8">
        <v>295</v>
      </c>
      <c r="B296" t="s">
        <v>1370</v>
      </c>
      <c r="C296" t="s">
        <v>14</v>
      </c>
      <c r="D296" t="s">
        <v>53</v>
      </c>
      <c r="E296" t="s">
        <v>1376</v>
      </c>
      <c r="F296" s="8" t="s">
        <v>45</v>
      </c>
      <c r="G296" s="6">
        <v>33</v>
      </c>
      <c r="H296" t="s">
        <v>1377</v>
      </c>
      <c r="I296" t="s">
        <v>46</v>
      </c>
      <c r="J296" s="7" t="s">
        <v>502</v>
      </c>
      <c r="L296" s="15">
        <v>45744</v>
      </c>
    </row>
    <row r="297" spans="1:12">
      <c r="A297" s="8">
        <v>296</v>
      </c>
      <c r="B297" t="s">
        <v>1370</v>
      </c>
      <c r="C297" t="s">
        <v>14</v>
      </c>
      <c r="D297" t="s">
        <v>1378</v>
      </c>
      <c r="E297" t="s">
        <v>1379</v>
      </c>
      <c r="F297" s="8" t="s">
        <v>1063</v>
      </c>
      <c r="G297" s="6">
        <v>44.5</v>
      </c>
      <c r="H297" t="s">
        <v>1380</v>
      </c>
      <c r="I297" t="s">
        <v>1329</v>
      </c>
      <c r="J297" s="7">
        <v>4</v>
      </c>
      <c r="L297" s="15">
        <v>45744</v>
      </c>
    </row>
    <row r="298" spans="1:12">
      <c r="A298" s="8">
        <v>297</v>
      </c>
      <c r="B298" t="s">
        <v>157</v>
      </c>
      <c r="C298" t="s">
        <v>14</v>
      </c>
      <c r="D298" t="s">
        <v>53</v>
      </c>
      <c r="E298" t="s">
        <v>1381</v>
      </c>
      <c r="F298" s="8" t="s">
        <v>106</v>
      </c>
      <c r="G298" s="6">
        <v>25.6</v>
      </c>
      <c r="H298" t="s">
        <v>1382</v>
      </c>
      <c r="I298" t="s">
        <v>1383</v>
      </c>
      <c r="J298" s="7">
        <v>4</v>
      </c>
      <c r="L298" s="15">
        <v>45752</v>
      </c>
    </row>
    <row r="299" spans="1:12">
      <c r="A299" s="8">
        <v>298</v>
      </c>
      <c r="B299" t="s">
        <v>727</v>
      </c>
      <c r="C299" t="s">
        <v>21</v>
      </c>
      <c r="D299" t="s">
        <v>1384</v>
      </c>
      <c r="E299" t="s">
        <v>1385</v>
      </c>
      <c r="F299" s="8" t="s">
        <v>1386</v>
      </c>
      <c r="G299" s="6">
        <v>20.8</v>
      </c>
      <c r="H299" t="s">
        <v>1387</v>
      </c>
      <c r="I299" t="s">
        <v>1388</v>
      </c>
      <c r="J299" s="7">
        <v>4</v>
      </c>
      <c r="K299" t="s">
        <v>215</v>
      </c>
      <c r="L299" s="15">
        <v>45752</v>
      </c>
    </row>
    <row r="300" spans="1:12">
      <c r="A300" s="8">
        <v>299</v>
      </c>
      <c r="B300" t="s">
        <v>187</v>
      </c>
      <c r="C300" t="s">
        <v>21</v>
      </c>
      <c r="D300" t="s">
        <v>1389</v>
      </c>
      <c r="E300" t="s">
        <v>1390</v>
      </c>
      <c r="F300" s="8" t="s">
        <v>1391</v>
      </c>
      <c r="G300" s="6">
        <v>26.5</v>
      </c>
      <c r="H300" t="s">
        <v>1392</v>
      </c>
      <c r="I300" t="s">
        <v>1393</v>
      </c>
      <c r="J300" s="7" t="s">
        <v>144</v>
      </c>
      <c r="L300" s="15">
        <v>45752</v>
      </c>
    </row>
    <row r="301" spans="1:12">
      <c r="A301" s="8">
        <v>300</v>
      </c>
      <c r="B301" t="s">
        <v>246</v>
      </c>
      <c r="C301" t="s">
        <v>21</v>
      </c>
      <c r="D301" t="s">
        <v>1394</v>
      </c>
      <c r="E301" t="s">
        <v>1395</v>
      </c>
      <c r="F301" s="8" t="s">
        <v>1396</v>
      </c>
      <c r="G301" s="6">
        <v>23</v>
      </c>
      <c r="H301" t="s">
        <v>1397</v>
      </c>
      <c r="I301" t="s">
        <v>1216</v>
      </c>
      <c r="J301" s="20">
        <v>4.5</v>
      </c>
      <c r="L301" s="15">
        <v>45761</v>
      </c>
    </row>
    <row r="302" spans="1:12">
      <c r="A302" s="8">
        <v>301</v>
      </c>
      <c r="B302" t="s">
        <v>803</v>
      </c>
      <c r="C302" t="s">
        <v>14</v>
      </c>
      <c r="D302" t="s">
        <v>1398</v>
      </c>
      <c r="E302" t="s">
        <v>1399</v>
      </c>
      <c r="F302" s="8" t="s">
        <v>1400</v>
      </c>
      <c r="G302" s="6">
        <v>41.2</v>
      </c>
      <c r="H302" t="s">
        <v>1401</v>
      </c>
      <c r="I302" t="s">
        <v>1402</v>
      </c>
      <c r="J302" s="7" t="s">
        <v>144</v>
      </c>
      <c r="K302" t="s">
        <v>1325</v>
      </c>
      <c r="L302" s="15">
        <v>45761</v>
      </c>
    </row>
    <row r="303" spans="1:12">
      <c r="A303" s="8">
        <v>302</v>
      </c>
      <c r="B303" t="s">
        <v>37</v>
      </c>
      <c r="C303" t="s">
        <v>21</v>
      </c>
      <c r="D303" t="s">
        <v>1403</v>
      </c>
      <c r="E303" t="s">
        <v>1404</v>
      </c>
      <c r="F303" s="8" t="s">
        <v>190</v>
      </c>
      <c r="G303" s="6">
        <v>29</v>
      </c>
      <c r="H303" t="s">
        <v>1405</v>
      </c>
      <c r="I303" t="s">
        <v>172</v>
      </c>
      <c r="J303" s="21">
        <v>4.5</v>
      </c>
      <c r="K303" t="s">
        <v>145</v>
      </c>
      <c r="L303" s="15">
        <v>45761</v>
      </c>
    </row>
    <row r="304" spans="1:12">
      <c r="A304" s="8">
        <v>303</v>
      </c>
      <c r="B304" t="s">
        <v>1406</v>
      </c>
      <c r="C304" t="s">
        <v>115</v>
      </c>
      <c r="D304" t="s">
        <v>1407</v>
      </c>
      <c r="E304" t="s">
        <v>1408</v>
      </c>
      <c r="F304" s="8" t="s">
        <v>1409</v>
      </c>
      <c r="G304" s="6">
        <v>21.4</v>
      </c>
      <c r="H304" t="s">
        <v>1410</v>
      </c>
      <c r="I304" t="s">
        <v>172</v>
      </c>
      <c r="J304" s="21">
        <v>4.5</v>
      </c>
      <c r="K304" t="s">
        <v>479</v>
      </c>
      <c r="L304" s="15">
        <v>45763</v>
      </c>
    </row>
    <row r="305" spans="1:12">
      <c r="A305" s="8">
        <v>304</v>
      </c>
      <c r="B305" t="s">
        <v>1406</v>
      </c>
      <c r="C305" t="s">
        <v>21</v>
      </c>
      <c r="D305" t="s">
        <v>1411</v>
      </c>
      <c r="E305" t="s">
        <v>1412</v>
      </c>
      <c r="F305" s="8" t="s">
        <v>1413</v>
      </c>
      <c r="G305" s="13">
        <v>17.8</v>
      </c>
      <c r="H305" t="s">
        <v>1414</v>
      </c>
      <c r="I305" t="s">
        <v>1216</v>
      </c>
      <c r="J305" s="7">
        <v>4</v>
      </c>
      <c r="L305" s="15">
        <v>45763</v>
      </c>
    </row>
    <row r="306" spans="1:12">
      <c r="A306" s="8">
        <v>305</v>
      </c>
      <c r="B306" t="s">
        <v>1406</v>
      </c>
      <c r="C306" t="s">
        <v>14</v>
      </c>
      <c r="D306" t="s">
        <v>1415</v>
      </c>
      <c r="E306" t="s">
        <v>1416</v>
      </c>
      <c r="F306" s="8" t="s">
        <v>590</v>
      </c>
      <c r="G306" s="6">
        <v>24.3</v>
      </c>
      <c r="H306" t="s">
        <v>425</v>
      </c>
      <c r="I306" t="s">
        <v>1417</v>
      </c>
      <c r="J306" s="21">
        <v>4.5</v>
      </c>
      <c r="K306" t="s">
        <v>567</v>
      </c>
      <c r="L306" s="15">
        <v>45763</v>
      </c>
    </row>
    <row r="307" spans="1:12">
      <c r="A307" s="8">
        <v>306</v>
      </c>
      <c r="B307" t="s">
        <v>1406</v>
      </c>
      <c r="C307" t="s">
        <v>21</v>
      </c>
      <c r="D307" t="s">
        <v>1418</v>
      </c>
      <c r="E307" t="s">
        <v>1419</v>
      </c>
      <c r="F307" s="8" t="s">
        <v>962</v>
      </c>
      <c r="G307" s="13">
        <v>19.8</v>
      </c>
      <c r="H307" t="s">
        <v>688</v>
      </c>
      <c r="I307" t="s">
        <v>1420</v>
      </c>
      <c r="J307" s="7">
        <v>4</v>
      </c>
      <c r="L307" s="15">
        <v>45763</v>
      </c>
    </row>
    <row r="308" spans="1:12">
      <c r="A308" s="8">
        <v>307</v>
      </c>
      <c r="B308" t="s">
        <v>1406</v>
      </c>
      <c r="C308" t="s">
        <v>390</v>
      </c>
      <c r="D308" t="s">
        <v>1421</v>
      </c>
      <c r="E308" t="s">
        <v>1422</v>
      </c>
      <c r="F308" s="8" t="s">
        <v>1423</v>
      </c>
      <c r="G308" s="6">
        <v>34.6</v>
      </c>
      <c r="H308" t="s">
        <v>1424</v>
      </c>
      <c r="I308" t="s">
        <v>1425</v>
      </c>
      <c r="J308" s="7" t="s">
        <v>144</v>
      </c>
      <c r="K308" t="s">
        <v>145</v>
      </c>
      <c r="L308" s="15">
        <v>45763</v>
      </c>
    </row>
    <row r="309" spans="1:12">
      <c r="A309" s="8">
        <v>308</v>
      </c>
      <c r="B309" t="s">
        <v>803</v>
      </c>
      <c r="C309" t="s">
        <v>14</v>
      </c>
      <c r="D309" t="s">
        <v>1426</v>
      </c>
      <c r="E309" t="s">
        <v>1427</v>
      </c>
      <c r="F309" s="8" t="s">
        <v>1428</v>
      </c>
      <c r="G309" s="6">
        <v>34.8</v>
      </c>
      <c r="H309" t="s">
        <v>1429</v>
      </c>
      <c r="I309" t="s">
        <v>30</v>
      </c>
      <c r="J309" s="21">
        <v>4.5</v>
      </c>
      <c r="K309" t="s">
        <v>1325</v>
      </c>
      <c r="L309" s="15">
        <v>45771</v>
      </c>
    </row>
    <row r="310" spans="1:12">
      <c r="A310" s="8">
        <v>309</v>
      </c>
      <c r="B310" t="s">
        <v>240</v>
      </c>
      <c r="C310" t="s">
        <v>21</v>
      </c>
      <c r="D310" t="s">
        <v>1430</v>
      </c>
      <c r="E310" t="s">
        <v>1431</v>
      </c>
      <c r="F310" s="8" t="s">
        <v>1432</v>
      </c>
      <c r="G310" s="6">
        <v>26.3</v>
      </c>
      <c r="H310" t="s">
        <v>1433</v>
      </c>
      <c r="I310" t="s">
        <v>1434</v>
      </c>
      <c r="J310" s="18" t="s">
        <v>152</v>
      </c>
      <c r="L310" s="15">
        <v>45771</v>
      </c>
    </row>
    <row r="311" spans="1:12">
      <c r="A311" s="8">
        <v>310</v>
      </c>
      <c r="B311" t="s">
        <v>139</v>
      </c>
      <c r="C311" t="s">
        <v>14</v>
      </c>
      <c r="D311" t="s">
        <v>1435</v>
      </c>
      <c r="E311" t="s">
        <v>1436</v>
      </c>
      <c r="F311" s="8" t="s">
        <v>1391</v>
      </c>
      <c r="G311" s="6">
        <v>26.5</v>
      </c>
      <c r="H311" t="s">
        <v>1437</v>
      </c>
      <c r="I311" t="s">
        <v>30</v>
      </c>
      <c r="J311" s="21">
        <v>4.5</v>
      </c>
      <c r="L311" s="15">
        <v>45771</v>
      </c>
    </row>
    <row r="312" spans="1:12">
      <c r="A312" s="8">
        <v>311</v>
      </c>
      <c r="B312" t="s">
        <v>330</v>
      </c>
      <c r="C312" t="s">
        <v>390</v>
      </c>
      <c r="D312" t="s">
        <v>1438</v>
      </c>
      <c r="E312" t="s">
        <v>1439</v>
      </c>
      <c r="F312" s="8" t="s">
        <v>50</v>
      </c>
      <c r="G312" s="6">
        <v>34</v>
      </c>
      <c r="H312" t="s">
        <v>895</v>
      </c>
      <c r="I312" t="s">
        <v>1402</v>
      </c>
      <c r="J312" s="7" t="s">
        <v>144</v>
      </c>
      <c r="L312" s="15">
        <v>45771</v>
      </c>
    </row>
    <row r="313" spans="1:12">
      <c r="A313" s="8">
        <v>312</v>
      </c>
      <c r="B313" t="s">
        <v>923</v>
      </c>
      <c r="C313" t="s">
        <v>21</v>
      </c>
      <c r="D313" t="s">
        <v>1440</v>
      </c>
      <c r="E313" t="s">
        <v>1441</v>
      </c>
      <c r="F313" s="8" t="s">
        <v>1442</v>
      </c>
      <c r="G313" s="13">
        <v>15.5</v>
      </c>
      <c r="H313" t="s">
        <v>1443</v>
      </c>
      <c r="I313" t="s">
        <v>1169</v>
      </c>
      <c r="J313" s="7" t="s">
        <v>502</v>
      </c>
      <c r="K313" s="12"/>
      <c r="L313" s="15">
        <v>45775</v>
      </c>
    </row>
    <row r="314" spans="1:12">
      <c r="A314" s="8">
        <v>313</v>
      </c>
      <c r="B314" t="s">
        <v>139</v>
      </c>
      <c r="C314" t="s">
        <v>1135</v>
      </c>
      <c r="D314" t="s">
        <v>1444</v>
      </c>
      <c r="E314" t="s">
        <v>1445</v>
      </c>
      <c r="F314" s="8" t="s">
        <v>1446</v>
      </c>
      <c r="G314" s="14">
        <v>71.5</v>
      </c>
      <c r="H314" t="s">
        <v>1447</v>
      </c>
      <c r="I314" t="s">
        <v>1448</v>
      </c>
      <c r="J314" s="7">
        <v>4</v>
      </c>
      <c r="L314" s="15">
        <v>45775</v>
      </c>
    </row>
    <row r="315" spans="1:12">
      <c r="A315" s="8">
        <v>314</v>
      </c>
      <c r="B315" t="s">
        <v>139</v>
      </c>
      <c r="C315" t="s">
        <v>874</v>
      </c>
      <c r="D315" t="s">
        <v>1449</v>
      </c>
      <c r="E315" t="s">
        <v>1450</v>
      </c>
      <c r="F315" s="8" t="s">
        <v>1451</v>
      </c>
      <c r="G315" s="6">
        <v>45.5</v>
      </c>
      <c r="H315" t="s">
        <v>1452</v>
      </c>
      <c r="I315" t="s">
        <v>1417</v>
      </c>
      <c r="J315" s="20" t="s">
        <v>455</v>
      </c>
      <c r="K315" t="s">
        <v>587</v>
      </c>
      <c r="L315" s="15">
        <v>45775</v>
      </c>
    </row>
    <row r="316" spans="1:12">
      <c r="A316" s="8">
        <v>315</v>
      </c>
      <c r="B316" t="s">
        <v>1453</v>
      </c>
      <c r="C316" t="s">
        <v>14</v>
      </c>
      <c r="D316" t="s">
        <v>1454</v>
      </c>
      <c r="E316" t="s">
        <v>1455</v>
      </c>
      <c r="F316" s="8" t="s">
        <v>1456</v>
      </c>
      <c r="G316" s="6">
        <v>21.8</v>
      </c>
      <c r="H316" t="s">
        <v>1457</v>
      </c>
      <c r="I316" t="s">
        <v>1458</v>
      </c>
      <c r="J316" s="7">
        <v>4</v>
      </c>
      <c r="K316" t="s">
        <v>145</v>
      </c>
      <c r="L316" s="15">
        <v>45775</v>
      </c>
    </row>
    <row r="317" spans="1:12">
      <c r="A317" s="8">
        <v>316</v>
      </c>
      <c r="B317" t="s">
        <v>246</v>
      </c>
      <c r="C317" t="s">
        <v>21</v>
      </c>
      <c r="D317" t="s">
        <v>1188</v>
      </c>
      <c r="E317" t="s">
        <v>1459</v>
      </c>
      <c r="F317" s="8" t="s">
        <v>516</v>
      </c>
      <c r="G317" s="6" t="s">
        <v>516</v>
      </c>
      <c r="H317" t="s">
        <v>416</v>
      </c>
      <c r="I317" t="s">
        <v>1460</v>
      </c>
      <c r="J317" s="7" t="s">
        <v>790</v>
      </c>
      <c r="L317" s="15">
        <v>45782</v>
      </c>
    </row>
    <row r="318" s="11" customFormat="1" spans="1:13">
      <c r="A318" s="23">
        <v>317</v>
      </c>
      <c r="B318" s="24" t="s">
        <v>1461</v>
      </c>
      <c r="C318" s="24" t="s">
        <v>1135</v>
      </c>
      <c r="D318" s="24" t="s">
        <v>1462</v>
      </c>
      <c r="E318" s="24" t="s">
        <v>1463</v>
      </c>
      <c r="F318" s="27" t="s">
        <v>190</v>
      </c>
      <c r="G318" s="28">
        <v>29</v>
      </c>
      <c r="H318" s="24" t="s">
        <v>1464</v>
      </c>
      <c r="I318" s="24" t="s">
        <v>325</v>
      </c>
      <c r="J318" s="31" t="s">
        <v>1124</v>
      </c>
      <c r="K318" s="24"/>
      <c r="L318" s="30">
        <v>45782</v>
      </c>
      <c r="M318" s="30">
        <v>45824</v>
      </c>
    </row>
    <row r="319" spans="1:12">
      <c r="A319" s="8">
        <v>318</v>
      </c>
      <c r="B319" t="s">
        <v>1406</v>
      </c>
      <c r="C319" t="s">
        <v>21</v>
      </c>
      <c r="D319" t="s">
        <v>1465</v>
      </c>
      <c r="E319" t="s">
        <v>1466</v>
      </c>
      <c r="F319" s="8" t="s">
        <v>1467</v>
      </c>
      <c r="G319" s="14">
        <v>58</v>
      </c>
      <c r="H319" t="s">
        <v>1468</v>
      </c>
      <c r="I319" t="s">
        <v>1469</v>
      </c>
      <c r="J319" s="7" t="s">
        <v>20</v>
      </c>
      <c r="L319" s="15">
        <v>45782</v>
      </c>
    </row>
    <row r="320" spans="1:12">
      <c r="A320" s="8">
        <v>319</v>
      </c>
      <c r="B320" t="s">
        <v>1470</v>
      </c>
      <c r="C320" t="s">
        <v>21</v>
      </c>
      <c r="D320" t="s">
        <v>1471</v>
      </c>
      <c r="E320" t="s">
        <v>1472</v>
      </c>
      <c r="F320" s="8" t="s">
        <v>1473</v>
      </c>
      <c r="G320" s="14">
        <v>66</v>
      </c>
      <c r="H320" t="s">
        <v>1474</v>
      </c>
      <c r="I320" t="s">
        <v>62</v>
      </c>
      <c r="J320" s="20" t="s">
        <v>603</v>
      </c>
      <c r="L320" s="15">
        <v>45782</v>
      </c>
    </row>
    <row r="321" spans="1:12">
      <c r="A321" s="8">
        <v>320</v>
      </c>
      <c r="B321" t="s">
        <v>1475</v>
      </c>
      <c r="C321" t="s">
        <v>14</v>
      </c>
      <c r="D321" t="s">
        <v>1476</v>
      </c>
      <c r="E321" t="s">
        <v>1477</v>
      </c>
      <c r="F321" s="8" t="s">
        <v>190</v>
      </c>
      <c r="G321" s="6">
        <v>29</v>
      </c>
      <c r="H321" t="s">
        <v>1478</v>
      </c>
      <c r="I321" t="s">
        <v>1479</v>
      </c>
      <c r="J321" s="21">
        <v>4.5</v>
      </c>
      <c r="K321" t="s">
        <v>1325</v>
      </c>
      <c r="L321" s="15">
        <v>45787</v>
      </c>
    </row>
    <row r="322" spans="1:12">
      <c r="A322" s="8">
        <v>321</v>
      </c>
      <c r="B322" t="s">
        <v>246</v>
      </c>
      <c r="C322" t="s">
        <v>14</v>
      </c>
      <c r="D322" t="s">
        <v>1480</v>
      </c>
      <c r="E322" t="s">
        <v>1481</v>
      </c>
      <c r="F322" s="8" t="s">
        <v>170</v>
      </c>
      <c r="G322" s="6">
        <v>36</v>
      </c>
      <c r="H322" t="s">
        <v>1482</v>
      </c>
      <c r="I322" t="s">
        <v>1483</v>
      </c>
      <c r="J322" s="7" t="s">
        <v>144</v>
      </c>
      <c r="K322" t="s">
        <v>1484</v>
      </c>
      <c r="L322" s="15">
        <v>45787</v>
      </c>
    </row>
    <row r="323" spans="1:12">
      <c r="A323" s="8">
        <v>322</v>
      </c>
      <c r="B323" t="s">
        <v>1485</v>
      </c>
      <c r="C323" t="s">
        <v>14</v>
      </c>
      <c r="D323" t="s">
        <v>158</v>
      </c>
      <c r="E323" t="s">
        <v>1486</v>
      </c>
      <c r="F323" s="8" t="s">
        <v>268</v>
      </c>
      <c r="G323" s="6">
        <v>31.6</v>
      </c>
      <c r="H323" t="s">
        <v>1487</v>
      </c>
      <c r="I323" t="s">
        <v>1488</v>
      </c>
      <c r="J323" s="7" t="s">
        <v>790</v>
      </c>
      <c r="L323" s="15">
        <v>45789</v>
      </c>
    </row>
    <row r="324" spans="1:12">
      <c r="A324" s="8">
        <v>323</v>
      </c>
      <c r="B324" t="s">
        <v>1489</v>
      </c>
      <c r="C324" t="s">
        <v>390</v>
      </c>
      <c r="D324" t="s">
        <v>1490</v>
      </c>
      <c r="E324" t="s">
        <v>1491</v>
      </c>
      <c r="F324" s="8" t="s">
        <v>1492</v>
      </c>
      <c r="G324" s="13">
        <v>13.9</v>
      </c>
      <c r="H324" t="s">
        <v>1294</v>
      </c>
      <c r="I324" t="s">
        <v>1493</v>
      </c>
      <c r="J324" s="17">
        <v>2.5</v>
      </c>
      <c r="L324" s="15">
        <v>45789</v>
      </c>
    </row>
    <row r="325" spans="1:12">
      <c r="A325" s="8">
        <v>324</v>
      </c>
      <c r="B325" t="s">
        <v>246</v>
      </c>
      <c r="C325" t="s">
        <v>14</v>
      </c>
      <c r="D325" t="s">
        <v>1494</v>
      </c>
      <c r="E325" t="s">
        <v>1495</v>
      </c>
      <c r="F325" s="8" t="s">
        <v>1496</v>
      </c>
      <c r="G325" s="6">
        <v>42</v>
      </c>
      <c r="H325" t="s">
        <v>526</v>
      </c>
      <c r="I325" t="s">
        <v>1497</v>
      </c>
      <c r="J325" s="7">
        <v>4</v>
      </c>
      <c r="L325" s="15">
        <v>45789</v>
      </c>
    </row>
    <row r="326" spans="1:12">
      <c r="A326" s="8">
        <v>325</v>
      </c>
      <c r="B326" t="s">
        <v>246</v>
      </c>
      <c r="C326" t="s">
        <v>21</v>
      </c>
      <c r="D326" t="s">
        <v>1498</v>
      </c>
      <c r="E326" t="s">
        <v>1499</v>
      </c>
      <c r="F326" s="8" t="s">
        <v>1391</v>
      </c>
      <c r="G326" s="6">
        <v>26.5</v>
      </c>
      <c r="H326" t="s">
        <v>24</v>
      </c>
      <c r="I326" t="s">
        <v>1500</v>
      </c>
      <c r="J326" s="7">
        <v>3.5</v>
      </c>
      <c r="L326" s="15">
        <v>45787</v>
      </c>
    </row>
    <row r="327" spans="1:12">
      <c r="A327" s="8">
        <v>326</v>
      </c>
      <c r="B327" t="s">
        <v>246</v>
      </c>
      <c r="C327" t="s">
        <v>21</v>
      </c>
      <c r="D327" t="s">
        <v>1501</v>
      </c>
      <c r="E327" t="s">
        <v>1502</v>
      </c>
      <c r="F327" s="8" t="s">
        <v>1503</v>
      </c>
      <c r="G327" s="6">
        <v>41.5</v>
      </c>
      <c r="H327" t="s">
        <v>1504</v>
      </c>
      <c r="I327" t="s">
        <v>1505</v>
      </c>
      <c r="J327" s="7" t="s">
        <v>144</v>
      </c>
      <c r="L327" s="15">
        <v>45787</v>
      </c>
    </row>
    <row r="328" spans="1:12">
      <c r="A328" s="8">
        <v>327</v>
      </c>
      <c r="B328" t="s">
        <v>246</v>
      </c>
      <c r="C328" t="s">
        <v>21</v>
      </c>
      <c r="D328" t="s">
        <v>1506</v>
      </c>
      <c r="E328" t="s">
        <v>1507</v>
      </c>
      <c r="F328" s="8" t="s">
        <v>1508</v>
      </c>
      <c r="G328" s="14">
        <v>55.5</v>
      </c>
      <c r="H328" t="s">
        <v>1509</v>
      </c>
      <c r="I328" t="s">
        <v>1510</v>
      </c>
      <c r="J328" s="20" t="s">
        <v>603</v>
      </c>
      <c r="L328" s="15">
        <v>45787</v>
      </c>
    </row>
    <row r="329" spans="1:12">
      <c r="A329" s="8">
        <v>328</v>
      </c>
      <c r="B329" t="s">
        <v>246</v>
      </c>
      <c r="C329" t="s">
        <v>14</v>
      </c>
      <c r="D329" t="s">
        <v>1511</v>
      </c>
      <c r="E329" t="s">
        <v>1512</v>
      </c>
      <c r="F329" s="8" t="s">
        <v>1513</v>
      </c>
      <c r="G329" s="14">
        <v>53</v>
      </c>
      <c r="H329" t="s">
        <v>1514</v>
      </c>
      <c r="I329" t="s">
        <v>1515</v>
      </c>
      <c r="J329" s="20" t="s">
        <v>455</v>
      </c>
      <c r="L329" s="15">
        <v>45787</v>
      </c>
    </row>
    <row r="330" spans="1:12">
      <c r="A330" s="8">
        <v>329</v>
      </c>
      <c r="B330" t="s">
        <v>1516</v>
      </c>
      <c r="C330" t="s">
        <v>21</v>
      </c>
      <c r="D330" t="s">
        <v>1357</v>
      </c>
      <c r="E330" t="s">
        <v>1517</v>
      </c>
      <c r="F330" s="8" t="s">
        <v>516</v>
      </c>
      <c r="G330" s="6" t="s">
        <v>516</v>
      </c>
      <c r="H330" t="s">
        <v>1518</v>
      </c>
      <c r="I330" t="s">
        <v>274</v>
      </c>
      <c r="J330" s="7">
        <v>3.5</v>
      </c>
      <c r="L330" s="15">
        <v>45799</v>
      </c>
    </row>
    <row r="331" spans="1:12">
      <c r="A331" s="8">
        <v>330</v>
      </c>
      <c r="B331" t="s">
        <v>923</v>
      </c>
      <c r="C331" t="s">
        <v>14</v>
      </c>
      <c r="D331" t="s">
        <v>1519</v>
      </c>
      <c r="E331" t="s">
        <v>1520</v>
      </c>
      <c r="F331" s="8" t="s">
        <v>1521</v>
      </c>
      <c r="G331" s="6">
        <v>38.3</v>
      </c>
      <c r="H331" t="s">
        <v>1522</v>
      </c>
      <c r="I331" t="s">
        <v>325</v>
      </c>
      <c r="J331" s="20" t="s">
        <v>1124</v>
      </c>
      <c r="K331" t="s">
        <v>1523</v>
      </c>
      <c r="L331" s="15">
        <v>45799</v>
      </c>
    </row>
    <row r="332" spans="1:12">
      <c r="A332" s="8">
        <v>331</v>
      </c>
      <c r="B332" t="s">
        <v>1470</v>
      </c>
      <c r="C332" t="s">
        <v>21</v>
      </c>
      <c r="D332" t="s">
        <v>1524</v>
      </c>
      <c r="E332" t="s">
        <v>1525</v>
      </c>
      <c r="F332" s="8" t="s">
        <v>1473</v>
      </c>
      <c r="G332" s="14">
        <v>66</v>
      </c>
      <c r="H332" t="s">
        <v>1526</v>
      </c>
      <c r="I332" t="s">
        <v>1527</v>
      </c>
      <c r="J332" s="7" t="s">
        <v>144</v>
      </c>
      <c r="L332" s="15">
        <v>45803</v>
      </c>
    </row>
    <row r="333" spans="1:12">
      <c r="A333" s="8">
        <v>332</v>
      </c>
      <c r="B333" t="s">
        <v>1528</v>
      </c>
      <c r="C333" t="s">
        <v>14</v>
      </c>
      <c r="D333" t="s">
        <v>1529</v>
      </c>
      <c r="E333" t="s">
        <v>1530</v>
      </c>
      <c r="F333" s="8" t="s">
        <v>88</v>
      </c>
      <c r="G333" s="6">
        <v>30.4</v>
      </c>
      <c r="H333" t="s">
        <v>24</v>
      </c>
      <c r="I333" t="s">
        <v>1531</v>
      </c>
      <c r="J333" s="7" t="s">
        <v>502</v>
      </c>
      <c r="L333" s="15">
        <v>45803</v>
      </c>
    </row>
    <row r="334" spans="1:12">
      <c r="A334" s="8">
        <v>333</v>
      </c>
      <c r="B334" t="s">
        <v>85</v>
      </c>
      <c r="C334" t="s">
        <v>21</v>
      </c>
      <c r="D334" t="s">
        <v>1357</v>
      </c>
      <c r="E334" t="s">
        <v>1532</v>
      </c>
      <c r="F334" s="8" t="s">
        <v>155</v>
      </c>
      <c r="G334" s="6">
        <v>42.4</v>
      </c>
      <c r="H334" t="s">
        <v>1533</v>
      </c>
      <c r="I334" t="s">
        <v>1402</v>
      </c>
      <c r="J334" s="7" t="s">
        <v>144</v>
      </c>
      <c r="L334" s="15">
        <v>45803</v>
      </c>
    </row>
    <row r="335" spans="1:12">
      <c r="A335" s="8">
        <v>334</v>
      </c>
      <c r="B335" t="s">
        <v>1534</v>
      </c>
      <c r="C335" t="s">
        <v>21</v>
      </c>
      <c r="D335" t="s">
        <v>1535</v>
      </c>
      <c r="E335" t="s">
        <v>1536</v>
      </c>
      <c r="F335" s="8" t="s">
        <v>1537</v>
      </c>
      <c r="G335" s="14">
        <v>70</v>
      </c>
      <c r="H335" t="s">
        <v>62</v>
      </c>
      <c r="I335" t="s">
        <v>1538</v>
      </c>
      <c r="J335" s="17">
        <v>1</v>
      </c>
      <c r="L335" s="15">
        <v>45803</v>
      </c>
    </row>
    <row r="336" spans="1:12">
      <c r="A336" s="8">
        <v>335</v>
      </c>
      <c r="B336" t="s">
        <v>812</v>
      </c>
      <c r="C336" t="s">
        <v>1539</v>
      </c>
      <c r="D336" t="s">
        <v>1540</v>
      </c>
      <c r="E336" t="s">
        <v>1541</v>
      </c>
      <c r="F336" s="8" t="s">
        <v>1270</v>
      </c>
      <c r="G336" s="14">
        <v>99</v>
      </c>
      <c r="H336" t="s">
        <v>1542</v>
      </c>
      <c r="I336" t="s">
        <v>1351</v>
      </c>
      <c r="J336" s="20" t="s">
        <v>455</v>
      </c>
      <c r="L336" s="9">
        <v>45807</v>
      </c>
    </row>
    <row r="337" spans="1:12">
      <c r="A337" s="8">
        <v>336</v>
      </c>
      <c r="B337" t="s">
        <v>1543</v>
      </c>
      <c r="C337" t="s">
        <v>21</v>
      </c>
      <c r="D337" t="s">
        <v>1544</v>
      </c>
      <c r="E337" t="s">
        <v>832</v>
      </c>
      <c r="F337" s="8" t="s">
        <v>1545</v>
      </c>
      <c r="G337" s="13">
        <v>15</v>
      </c>
      <c r="H337" t="s">
        <v>1546</v>
      </c>
      <c r="I337" t="s">
        <v>1547</v>
      </c>
      <c r="J337" s="17">
        <v>3</v>
      </c>
      <c r="L337" s="9">
        <v>45807</v>
      </c>
    </row>
    <row r="338" spans="1:12">
      <c r="A338" s="8">
        <v>337</v>
      </c>
      <c r="B338" t="s">
        <v>31</v>
      </c>
      <c r="C338" t="s">
        <v>390</v>
      </c>
      <c r="D338" t="s">
        <v>1548</v>
      </c>
      <c r="E338" t="s">
        <v>1549</v>
      </c>
      <c r="F338" s="8" t="s">
        <v>645</v>
      </c>
      <c r="G338" s="6">
        <v>42.5</v>
      </c>
      <c r="H338" t="s">
        <v>1550</v>
      </c>
      <c r="I338" t="s">
        <v>1551</v>
      </c>
      <c r="J338" s="7" t="s">
        <v>20</v>
      </c>
      <c r="L338" s="9">
        <v>45807</v>
      </c>
    </row>
    <row r="339" spans="1:12">
      <c r="A339" s="8">
        <v>338</v>
      </c>
      <c r="B339" t="s">
        <v>1534</v>
      </c>
      <c r="C339" t="s">
        <v>21</v>
      </c>
      <c r="D339" t="s">
        <v>1552</v>
      </c>
      <c r="E339" t="s">
        <v>1553</v>
      </c>
      <c r="F339" s="8" t="s">
        <v>1554</v>
      </c>
      <c r="G339" s="14">
        <v>55</v>
      </c>
      <c r="H339" t="s">
        <v>62</v>
      </c>
      <c r="I339" t="s">
        <v>1555</v>
      </c>
      <c r="J339" s="17">
        <v>1</v>
      </c>
      <c r="L339" s="15">
        <v>45812</v>
      </c>
    </row>
    <row r="340" spans="1:12">
      <c r="A340" s="8">
        <v>339</v>
      </c>
      <c r="B340" t="s">
        <v>1406</v>
      </c>
      <c r="C340" t="s">
        <v>14</v>
      </c>
      <c r="D340" t="s">
        <v>1556</v>
      </c>
      <c r="E340" t="s">
        <v>1557</v>
      </c>
      <c r="F340" s="8" t="s">
        <v>67</v>
      </c>
      <c r="G340" s="6">
        <v>32.2</v>
      </c>
      <c r="H340" t="s">
        <v>1222</v>
      </c>
      <c r="I340" t="s">
        <v>1558</v>
      </c>
      <c r="J340" s="21">
        <v>4.5</v>
      </c>
      <c r="K340" t="s">
        <v>567</v>
      </c>
      <c r="L340" s="15">
        <v>45812</v>
      </c>
    </row>
    <row r="341" spans="1:12">
      <c r="A341" s="8">
        <v>340</v>
      </c>
      <c r="B341" t="s">
        <v>923</v>
      </c>
      <c r="C341" t="s">
        <v>14</v>
      </c>
      <c r="D341" t="s">
        <v>1559</v>
      </c>
      <c r="E341" t="s">
        <v>1560</v>
      </c>
      <c r="F341" s="8" t="s">
        <v>1561</v>
      </c>
      <c r="G341" s="6">
        <v>40.8</v>
      </c>
      <c r="H341" t="s">
        <v>1222</v>
      </c>
      <c r="I341" t="s">
        <v>102</v>
      </c>
      <c r="J341" s="7" t="s">
        <v>144</v>
      </c>
      <c r="K341" t="s">
        <v>145</v>
      </c>
      <c r="L341" s="15">
        <v>45812</v>
      </c>
    </row>
    <row r="342" spans="1:12">
      <c r="A342" s="8">
        <v>341</v>
      </c>
      <c r="B342" t="s">
        <v>37</v>
      </c>
      <c r="C342" t="s">
        <v>21</v>
      </c>
      <c r="D342" t="s">
        <v>1562</v>
      </c>
      <c r="E342" t="s">
        <v>1563</v>
      </c>
      <c r="F342" s="8" t="s">
        <v>1564</v>
      </c>
      <c r="G342" s="6">
        <v>36</v>
      </c>
      <c r="H342" t="s">
        <v>416</v>
      </c>
      <c r="I342" t="s">
        <v>1565</v>
      </c>
      <c r="J342" s="7" t="s">
        <v>502</v>
      </c>
      <c r="L342" s="15">
        <v>45812</v>
      </c>
    </row>
    <row r="343" spans="1:12">
      <c r="A343" s="8">
        <v>342</v>
      </c>
      <c r="B343" t="s">
        <v>1543</v>
      </c>
      <c r="C343" t="s">
        <v>21</v>
      </c>
      <c r="D343" t="s">
        <v>643</v>
      </c>
      <c r="E343" t="s">
        <v>1566</v>
      </c>
      <c r="F343" s="8" t="s">
        <v>1567</v>
      </c>
      <c r="G343" s="13">
        <v>10</v>
      </c>
      <c r="H343" t="s">
        <v>339</v>
      </c>
      <c r="I343" t="s">
        <v>1568</v>
      </c>
      <c r="J343" s="17">
        <v>2</v>
      </c>
      <c r="L343" s="15">
        <v>45811</v>
      </c>
    </row>
    <row r="344" spans="1:12">
      <c r="A344" s="8">
        <v>343</v>
      </c>
      <c r="B344" t="s">
        <v>122</v>
      </c>
      <c r="C344" t="s">
        <v>14</v>
      </c>
      <c r="D344" t="s">
        <v>1569</v>
      </c>
      <c r="E344" t="s">
        <v>1570</v>
      </c>
      <c r="F344" s="8" t="s">
        <v>1571</v>
      </c>
      <c r="G344" s="6">
        <v>40</v>
      </c>
      <c r="H344" t="s">
        <v>1572</v>
      </c>
      <c r="I344" t="s">
        <v>1573</v>
      </c>
      <c r="J344" s="7" t="s">
        <v>144</v>
      </c>
      <c r="K344" t="s">
        <v>145</v>
      </c>
      <c r="L344" s="15">
        <v>45811</v>
      </c>
    </row>
    <row r="345" spans="1:12">
      <c r="A345" s="8">
        <v>344</v>
      </c>
      <c r="B345" t="s">
        <v>548</v>
      </c>
      <c r="C345" t="s">
        <v>21</v>
      </c>
      <c r="D345" t="s">
        <v>1574</v>
      </c>
      <c r="E345" t="s">
        <v>1575</v>
      </c>
      <c r="F345" s="8" t="s">
        <v>1576</v>
      </c>
      <c r="G345" s="13">
        <v>15.4</v>
      </c>
      <c r="H345" t="s">
        <v>1577</v>
      </c>
      <c r="I345" t="s">
        <v>1558</v>
      </c>
      <c r="J345" s="20">
        <v>4.5</v>
      </c>
      <c r="K345" t="s">
        <v>567</v>
      </c>
      <c r="L345" s="15">
        <v>45812</v>
      </c>
    </row>
    <row r="346" spans="1:12">
      <c r="A346" s="8">
        <v>345</v>
      </c>
      <c r="B346" t="s">
        <v>473</v>
      </c>
      <c r="C346" t="s">
        <v>390</v>
      </c>
      <c r="D346" t="s">
        <v>1578</v>
      </c>
      <c r="E346" t="s">
        <v>1579</v>
      </c>
      <c r="F346" s="8" t="s">
        <v>1580</v>
      </c>
      <c r="G346" s="14">
        <v>159</v>
      </c>
      <c r="H346" t="s">
        <v>1581</v>
      </c>
      <c r="I346" t="s">
        <v>1582</v>
      </c>
      <c r="J346" s="20" t="s">
        <v>603</v>
      </c>
      <c r="K346" t="s">
        <v>1583</v>
      </c>
      <c r="L346" s="15">
        <v>45814</v>
      </c>
    </row>
    <row r="347" spans="1:12">
      <c r="A347" s="8">
        <v>346</v>
      </c>
      <c r="B347" t="s">
        <v>1584</v>
      </c>
      <c r="C347" t="s">
        <v>21</v>
      </c>
      <c r="D347" t="s">
        <v>1585</v>
      </c>
      <c r="E347" t="s">
        <v>1586</v>
      </c>
      <c r="F347" s="8" t="s">
        <v>1587</v>
      </c>
      <c r="G347" s="6">
        <v>21.5</v>
      </c>
      <c r="H347" t="s">
        <v>35</v>
      </c>
      <c r="I347" t="s">
        <v>1588</v>
      </c>
      <c r="J347" s="7" t="s">
        <v>144</v>
      </c>
      <c r="K347" t="s">
        <v>215</v>
      </c>
      <c r="L347" s="15">
        <v>45819</v>
      </c>
    </row>
    <row r="348" spans="1:12">
      <c r="A348" s="8">
        <v>347</v>
      </c>
      <c r="B348" t="s">
        <v>37</v>
      </c>
      <c r="C348" t="s">
        <v>14</v>
      </c>
      <c r="D348" t="s">
        <v>1589</v>
      </c>
      <c r="E348" t="s">
        <v>1590</v>
      </c>
      <c r="F348" s="8" t="s">
        <v>1591</v>
      </c>
      <c r="G348" s="6">
        <v>43.7</v>
      </c>
      <c r="H348" t="s">
        <v>1592</v>
      </c>
      <c r="I348" t="s">
        <v>1593</v>
      </c>
      <c r="J348" s="20" t="s">
        <v>455</v>
      </c>
      <c r="L348" s="15">
        <v>45819</v>
      </c>
    </row>
    <row r="349" spans="1:12">
      <c r="A349" s="8">
        <v>348</v>
      </c>
      <c r="B349" t="s">
        <v>1584</v>
      </c>
      <c r="C349" t="s">
        <v>21</v>
      </c>
      <c r="D349" t="s">
        <v>1594</v>
      </c>
      <c r="E349" t="s">
        <v>1595</v>
      </c>
      <c r="F349" s="8" t="s">
        <v>1587</v>
      </c>
      <c r="G349" s="6">
        <v>21.5</v>
      </c>
      <c r="H349" t="s">
        <v>35</v>
      </c>
      <c r="I349" t="s">
        <v>1596</v>
      </c>
      <c r="J349" s="7">
        <v>4</v>
      </c>
      <c r="L349" s="15">
        <v>45817</v>
      </c>
    </row>
    <row r="350" spans="1:12">
      <c r="A350" s="8">
        <v>349</v>
      </c>
      <c r="B350" t="s">
        <v>438</v>
      </c>
      <c r="C350" t="s">
        <v>14</v>
      </c>
      <c r="D350" t="s">
        <v>15</v>
      </c>
      <c r="E350" t="s">
        <v>1597</v>
      </c>
      <c r="F350" s="8" t="s">
        <v>1598</v>
      </c>
      <c r="G350" s="13">
        <v>16.3</v>
      </c>
      <c r="H350" t="s">
        <v>688</v>
      </c>
      <c r="I350" t="s">
        <v>46</v>
      </c>
      <c r="J350" s="7">
        <v>4</v>
      </c>
      <c r="L350" s="15">
        <v>45595</v>
      </c>
    </row>
    <row r="351" spans="1:12">
      <c r="A351" s="8">
        <v>350</v>
      </c>
      <c r="B351" t="s">
        <v>923</v>
      </c>
      <c r="C351" t="s">
        <v>21</v>
      </c>
      <c r="D351" t="s">
        <v>1599</v>
      </c>
      <c r="E351" t="s">
        <v>1600</v>
      </c>
      <c r="F351" s="8" t="s">
        <v>1601</v>
      </c>
      <c r="G351" s="6">
        <v>32.5</v>
      </c>
      <c r="H351" t="s">
        <v>1602</v>
      </c>
      <c r="I351" t="s">
        <v>1603</v>
      </c>
      <c r="J351" s="7">
        <v>4</v>
      </c>
      <c r="L351" s="15">
        <v>45824</v>
      </c>
    </row>
    <row r="352" spans="1:12">
      <c r="A352" s="8">
        <v>351</v>
      </c>
      <c r="B352" t="s">
        <v>330</v>
      </c>
      <c r="C352" t="s">
        <v>21</v>
      </c>
      <c r="D352" t="s">
        <v>1357</v>
      </c>
      <c r="E352" t="s">
        <v>1604</v>
      </c>
      <c r="F352" s="8" t="s">
        <v>50</v>
      </c>
      <c r="G352" s="6">
        <v>34</v>
      </c>
      <c r="H352" t="s">
        <v>1605</v>
      </c>
      <c r="I352" t="s">
        <v>325</v>
      </c>
      <c r="J352" s="21">
        <v>4.5</v>
      </c>
      <c r="K352" t="s">
        <v>145</v>
      </c>
      <c r="L352" s="15">
        <v>45841</v>
      </c>
    </row>
    <row r="353" spans="1:12">
      <c r="A353" s="8">
        <v>352</v>
      </c>
      <c r="B353" t="s">
        <v>330</v>
      </c>
      <c r="C353" t="s">
        <v>21</v>
      </c>
      <c r="D353" t="s">
        <v>1606</v>
      </c>
      <c r="E353" t="s">
        <v>1607</v>
      </c>
      <c r="F353" s="8" t="s">
        <v>1608</v>
      </c>
      <c r="G353" s="14">
        <v>94</v>
      </c>
      <c r="H353" t="s">
        <v>1350</v>
      </c>
      <c r="I353" t="s">
        <v>836</v>
      </c>
      <c r="J353" s="7">
        <v>4</v>
      </c>
      <c r="L353" s="15">
        <v>45841</v>
      </c>
    </row>
    <row r="354" spans="1:12">
      <c r="A354" s="8">
        <v>353</v>
      </c>
      <c r="B354" t="s">
        <v>330</v>
      </c>
      <c r="C354" t="s">
        <v>21</v>
      </c>
      <c r="D354" t="s">
        <v>842</v>
      </c>
      <c r="E354" t="s">
        <v>1609</v>
      </c>
      <c r="F354" s="8" t="s">
        <v>971</v>
      </c>
      <c r="G354" s="6">
        <v>37.5</v>
      </c>
      <c r="H354" t="s">
        <v>1610</v>
      </c>
      <c r="I354" t="s">
        <v>325</v>
      </c>
      <c r="J354" s="20" t="s">
        <v>455</v>
      </c>
      <c r="L354" s="15">
        <v>45841</v>
      </c>
    </row>
    <row r="355" spans="1:12">
      <c r="A355" s="8">
        <v>354</v>
      </c>
      <c r="B355" t="s">
        <v>330</v>
      </c>
      <c r="C355" t="s">
        <v>21</v>
      </c>
      <c r="D355" t="s">
        <v>1611</v>
      </c>
      <c r="E355" t="s">
        <v>1612</v>
      </c>
      <c r="F355" s="8" t="s">
        <v>1613</v>
      </c>
      <c r="G355" s="6">
        <v>38</v>
      </c>
      <c r="H355" t="s">
        <v>1382</v>
      </c>
      <c r="I355" t="s">
        <v>1614</v>
      </c>
      <c r="J355" s="7" t="s">
        <v>20</v>
      </c>
      <c r="L355" s="15">
        <v>45841</v>
      </c>
    </row>
    <row r="356" spans="1:12">
      <c r="A356" s="8">
        <v>355</v>
      </c>
      <c r="B356" t="s">
        <v>438</v>
      </c>
      <c r="C356" t="s">
        <v>14</v>
      </c>
      <c r="D356" t="s">
        <v>1615</v>
      </c>
      <c r="E356" t="s">
        <v>1616</v>
      </c>
      <c r="F356" s="8" t="s">
        <v>1617</v>
      </c>
      <c r="G356" s="6">
        <v>23.4</v>
      </c>
      <c r="H356" t="s">
        <v>29</v>
      </c>
      <c r="I356" t="s">
        <v>1618</v>
      </c>
      <c r="J356" s="7" t="s">
        <v>144</v>
      </c>
      <c r="K356" t="s">
        <v>145</v>
      </c>
      <c r="L356" s="15">
        <v>45846</v>
      </c>
    </row>
    <row r="357" spans="1:12">
      <c r="A357" s="8">
        <v>356</v>
      </c>
      <c r="B357" t="s">
        <v>923</v>
      </c>
      <c r="C357" t="s">
        <v>14</v>
      </c>
      <c r="D357" t="s">
        <v>1619</v>
      </c>
      <c r="E357" t="s">
        <v>1620</v>
      </c>
      <c r="F357" s="8" t="s">
        <v>304</v>
      </c>
      <c r="G357" s="6">
        <v>40</v>
      </c>
      <c r="H357" t="s">
        <v>1382</v>
      </c>
      <c r="I357" t="s">
        <v>325</v>
      </c>
      <c r="J357" s="7" t="s">
        <v>144</v>
      </c>
      <c r="L357" s="15">
        <v>45846</v>
      </c>
    </row>
    <row r="358" spans="1:12">
      <c r="A358" s="8">
        <v>357</v>
      </c>
      <c r="B358" t="s">
        <v>803</v>
      </c>
      <c r="C358" t="s">
        <v>14</v>
      </c>
      <c r="D358" t="s">
        <v>1621</v>
      </c>
      <c r="E358" t="s">
        <v>1622</v>
      </c>
      <c r="F358" s="8" t="s">
        <v>1623</v>
      </c>
      <c r="G358" s="6">
        <v>47.2</v>
      </c>
      <c r="H358" t="s">
        <v>1624</v>
      </c>
      <c r="I358" t="s">
        <v>214</v>
      </c>
      <c r="J358" s="7" t="s">
        <v>144</v>
      </c>
      <c r="L358" s="15">
        <v>45846</v>
      </c>
    </row>
    <row r="359" spans="1:12">
      <c r="A359" s="8">
        <v>358</v>
      </c>
      <c r="B359" t="s">
        <v>1625</v>
      </c>
      <c r="C359" t="s">
        <v>1135</v>
      </c>
      <c r="D359" t="s">
        <v>1626</v>
      </c>
      <c r="E359" t="s">
        <v>1627</v>
      </c>
      <c r="F359" s="8" t="s">
        <v>1332</v>
      </c>
      <c r="G359" s="6">
        <v>32</v>
      </c>
      <c r="H359" t="s">
        <v>373</v>
      </c>
      <c r="I359" t="s">
        <v>1628</v>
      </c>
      <c r="J359" s="7" t="s">
        <v>144</v>
      </c>
      <c r="L359" s="15">
        <v>45846</v>
      </c>
    </row>
    <row r="360" spans="1:12">
      <c r="A360" s="8">
        <v>359</v>
      </c>
      <c r="B360" t="s">
        <v>139</v>
      </c>
      <c r="C360" t="s">
        <v>390</v>
      </c>
      <c r="D360" t="s">
        <v>1629</v>
      </c>
      <c r="E360" t="s">
        <v>1630</v>
      </c>
      <c r="F360" s="8" t="s">
        <v>564</v>
      </c>
      <c r="G360" s="6">
        <v>39</v>
      </c>
      <c r="H360" t="s">
        <v>1631</v>
      </c>
      <c r="I360" t="s">
        <v>1632</v>
      </c>
      <c r="J360" s="7">
        <v>3.5</v>
      </c>
      <c r="L360" s="15">
        <v>45852</v>
      </c>
    </row>
    <row r="361" spans="1:12">
      <c r="A361" s="8">
        <v>360</v>
      </c>
      <c r="B361" t="s">
        <v>122</v>
      </c>
      <c r="C361" t="s">
        <v>721</v>
      </c>
      <c r="D361" t="s">
        <v>1633</v>
      </c>
      <c r="E361" t="s">
        <v>1634</v>
      </c>
      <c r="F361" s="8" t="s">
        <v>130</v>
      </c>
      <c r="G361" s="6">
        <v>45.3</v>
      </c>
      <c r="H361" t="s">
        <v>1222</v>
      </c>
      <c r="I361" t="s">
        <v>1635</v>
      </c>
      <c r="J361" s="21">
        <v>4.5</v>
      </c>
      <c r="L361" s="15">
        <v>45852</v>
      </c>
    </row>
    <row r="362" spans="1:12">
      <c r="A362" s="8">
        <v>361</v>
      </c>
      <c r="B362" t="s">
        <v>812</v>
      </c>
      <c r="C362" t="s">
        <v>14</v>
      </c>
      <c r="D362" t="s">
        <v>275</v>
      </c>
      <c r="E362" t="s">
        <v>1636</v>
      </c>
      <c r="F362" s="8" t="s">
        <v>799</v>
      </c>
      <c r="G362" s="6">
        <v>47.5</v>
      </c>
      <c r="H362" t="s">
        <v>24</v>
      </c>
      <c r="I362" t="s">
        <v>1637</v>
      </c>
      <c r="J362" s="7">
        <v>4</v>
      </c>
      <c r="L362" s="15">
        <v>45852</v>
      </c>
    </row>
    <row r="363" spans="1:12">
      <c r="A363" s="8">
        <v>362</v>
      </c>
      <c r="B363" t="s">
        <v>1406</v>
      </c>
      <c r="C363" t="s">
        <v>115</v>
      </c>
      <c r="D363" t="s">
        <v>1638</v>
      </c>
      <c r="E363" t="s">
        <v>1639</v>
      </c>
      <c r="F363" s="8" t="s">
        <v>505</v>
      </c>
      <c r="G363" s="6">
        <f>76/227*100</f>
        <v>33.4801762114537</v>
      </c>
      <c r="H363" t="s">
        <v>1105</v>
      </c>
      <c r="I363" t="s">
        <v>1640</v>
      </c>
      <c r="J363" s="32" t="s">
        <v>144</v>
      </c>
      <c r="L363" s="15">
        <v>45856</v>
      </c>
    </row>
    <row r="364" spans="1:12">
      <c r="A364" s="8">
        <v>363</v>
      </c>
      <c r="B364" t="s">
        <v>812</v>
      </c>
      <c r="C364" t="s">
        <v>14</v>
      </c>
      <c r="D364" t="s">
        <v>1641</v>
      </c>
      <c r="E364" t="s">
        <v>1642</v>
      </c>
      <c r="F364" s="8" t="s">
        <v>1643</v>
      </c>
      <c r="G364" s="6">
        <v>33.8</v>
      </c>
      <c r="H364" t="s">
        <v>1644</v>
      </c>
      <c r="I364" t="s">
        <v>62</v>
      </c>
      <c r="J364" s="20" t="s">
        <v>603</v>
      </c>
      <c r="K364" t="s">
        <v>1645</v>
      </c>
      <c r="L364" s="15">
        <v>45856</v>
      </c>
    </row>
    <row r="365" spans="1:12">
      <c r="A365" s="8">
        <v>364</v>
      </c>
      <c r="B365" t="s">
        <v>438</v>
      </c>
      <c r="C365" t="s">
        <v>14</v>
      </c>
      <c r="D365" t="s">
        <v>1646</v>
      </c>
      <c r="E365" t="s">
        <v>1647</v>
      </c>
      <c r="F365" s="8" t="s">
        <v>1648</v>
      </c>
      <c r="G365" s="6">
        <v>34.9</v>
      </c>
      <c r="H365" t="s">
        <v>24</v>
      </c>
      <c r="I365" t="s">
        <v>1649</v>
      </c>
      <c r="J365" s="7" t="s">
        <v>20</v>
      </c>
      <c r="L365" s="15">
        <v>45856</v>
      </c>
    </row>
    <row r="366" spans="1:12">
      <c r="A366" s="8">
        <v>365</v>
      </c>
      <c r="B366" t="s">
        <v>85</v>
      </c>
      <c r="C366" t="s">
        <v>1650</v>
      </c>
      <c r="D366" t="s">
        <v>1651</v>
      </c>
      <c r="E366" t="s">
        <v>1652</v>
      </c>
      <c r="F366" s="8" t="s">
        <v>1202</v>
      </c>
      <c r="G366" s="6">
        <v>34.4</v>
      </c>
      <c r="H366" t="s">
        <v>89</v>
      </c>
      <c r="I366" t="s">
        <v>1653</v>
      </c>
      <c r="J366" s="7">
        <v>3.5</v>
      </c>
      <c r="L366" s="15">
        <v>45858</v>
      </c>
    </row>
    <row r="367" spans="1:12">
      <c r="A367" s="8">
        <v>366</v>
      </c>
      <c r="B367" t="s">
        <v>812</v>
      </c>
      <c r="C367" t="s">
        <v>1135</v>
      </c>
      <c r="D367" t="s">
        <v>1654</v>
      </c>
      <c r="E367" t="s">
        <v>1655</v>
      </c>
      <c r="F367" s="8" t="s">
        <v>1656</v>
      </c>
      <c r="G367" s="14">
        <v>114</v>
      </c>
      <c r="H367" t="s">
        <v>1657</v>
      </c>
      <c r="I367" t="s">
        <v>1658</v>
      </c>
      <c r="J367" s="20" t="s">
        <v>455</v>
      </c>
      <c r="L367" s="15">
        <v>45867</v>
      </c>
    </row>
    <row r="368" spans="1:12">
      <c r="A368" s="8">
        <v>5</v>
      </c>
      <c r="B368" t="s">
        <v>37</v>
      </c>
      <c r="C368" t="s">
        <v>21</v>
      </c>
      <c r="D368" t="s">
        <v>38</v>
      </c>
      <c r="E368" t="s">
        <v>39</v>
      </c>
      <c r="F368" s="8" t="s">
        <v>40</v>
      </c>
      <c r="G368" s="6">
        <v>29</v>
      </c>
      <c r="H368" t="s">
        <v>41</v>
      </c>
      <c r="I368" t="s">
        <v>42</v>
      </c>
      <c r="J368" s="16">
        <v>5</v>
      </c>
      <c r="K368"/>
      <c r="L368" s="15">
        <v>45089</v>
      </c>
    </row>
    <row r="369" spans="1:12">
      <c r="A369" s="8">
        <v>368</v>
      </c>
      <c r="B369" t="s">
        <v>1659</v>
      </c>
      <c r="C369" t="s">
        <v>21</v>
      </c>
      <c r="D369" t="s">
        <v>1660</v>
      </c>
      <c r="E369" t="s">
        <v>1661</v>
      </c>
      <c r="F369" s="8" t="s">
        <v>1662</v>
      </c>
      <c r="G369" s="6">
        <v>38.6</v>
      </c>
      <c r="H369" t="s">
        <v>1663</v>
      </c>
      <c r="I369" t="s">
        <v>1664</v>
      </c>
      <c r="J369" s="7">
        <v>4</v>
      </c>
      <c r="L369" s="15">
        <v>45869</v>
      </c>
    </row>
  </sheetData>
  <autoFilter xmlns:etc="http://www.wps.cn/officeDocument/2017/etCustomData" ref="A1:M440" etc:filterBottomFollowUsedRange="0">
    <extLst/>
  </autoFilter>
  <printOptions gridLines="1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6"/>
  <sheetViews>
    <sheetView workbookViewId="0">
      <pane ySplit="1" topLeftCell="A396" activePane="bottomLeft" state="frozen"/>
      <selection/>
      <selection pane="bottomLeft" activeCell="B425" sqref="B425"/>
    </sheetView>
  </sheetViews>
  <sheetFormatPr defaultColWidth="9.23076923076923" defaultRowHeight="16.8"/>
  <cols>
    <col min="2" max="2" width="11.9230769230769" customWidth="1"/>
    <col min="3" max="3" width="17.1346153846154" customWidth="1"/>
    <col min="4" max="4" width="32.6923076923077" customWidth="1"/>
    <col min="5" max="5" width="39.3846153846154" customWidth="1"/>
    <col min="6" max="6" width="16.3846153846154" customWidth="1"/>
    <col min="7" max="7" width="12.1730769230769" style="6" customWidth="1"/>
    <col min="8" max="8" width="30.9230769230769" customWidth="1"/>
    <col min="9" max="9" width="46.0769230769231" customWidth="1"/>
    <col min="10" max="10" width="9.23076923076923" style="7"/>
    <col min="11" max="11" width="14.5865384615385" customWidth="1"/>
    <col min="12" max="12" width="10.9230769230769" style="8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t="s">
        <v>7</v>
      </c>
      <c r="I1" t="s">
        <v>8</v>
      </c>
      <c r="J1" s="7" t="s">
        <v>9</v>
      </c>
      <c r="K1" t="s">
        <v>10</v>
      </c>
      <c r="L1" s="8" t="s">
        <v>11</v>
      </c>
      <c r="M1" t="s">
        <v>12</v>
      </c>
    </row>
    <row r="2" spans="1:6">
      <c r="A2" s="8">
        <v>1</v>
      </c>
      <c r="B2" t="s">
        <v>37</v>
      </c>
      <c r="C2" t="s">
        <v>14</v>
      </c>
      <c r="D2" t="s">
        <v>1665</v>
      </c>
      <c r="F2" t="s">
        <v>1666</v>
      </c>
    </row>
    <row r="3" spans="1:1">
      <c r="A3" s="8">
        <v>2</v>
      </c>
    </row>
    <row r="4" spans="1:1">
      <c r="A4" s="8">
        <v>3</v>
      </c>
    </row>
    <row r="5" spans="1:1">
      <c r="A5" s="8">
        <v>4</v>
      </c>
    </row>
    <row r="6" spans="1:1">
      <c r="A6" s="8">
        <v>5</v>
      </c>
    </row>
    <row r="7" spans="1:1">
      <c r="A7" s="8">
        <v>6</v>
      </c>
    </row>
    <row r="8" spans="1:1">
      <c r="A8" s="8">
        <v>7</v>
      </c>
    </row>
    <row r="9" spans="1:1">
      <c r="A9" s="8">
        <v>8</v>
      </c>
    </row>
    <row r="10" spans="1:1">
      <c r="A10" s="8">
        <v>9</v>
      </c>
    </row>
    <row r="11" spans="1:1">
      <c r="A11" s="8">
        <v>10</v>
      </c>
    </row>
    <row r="12" spans="1:1">
      <c r="A12" s="8">
        <v>11</v>
      </c>
    </row>
    <row r="13" spans="1:1">
      <c r="A13" s="8">
        <v>12</v>
      </c>
    </row>
    <row r="14" spans="1:1">
      <c r="A14" s="8">
        <v>13</v>
      </c>
    </row>
    <row r="15" spans="1:1">
      <c r="A15" s="8">
        <v>14</v>
      </c>
    </row>
    <row r="16" spans="1:1">
      <c r="A16" s="8">
        <v>15</v>
      </c>
    </row>
    <row r="17" spans="1:1">
      <c r="A17" s="8">
        <v>16</v>
      </c>
    </row>
    <row r="18" spans="1:1">
      <c r="A18" s="8">
        <v>17</v>
      </c>
    </row>
    <row r="19" spans="1:1">
      <c r="A19" s="8">
        <v>18</v>
      </c>
    </row>
    <row r="20" spans="1:1">
      <c r="A20" s="8">
        <v>19</v>
      </c>
    </row>
    <row r="21" spans="1:1">
      <c r="A21" s="8">
        <v>20</v>
      </c>
    </row>
    <row r="22" spans="1:1">
      <c r="A22" s="8">
        <v>21</v>
      </c>
    </row>
    <row r="23" spans="1:1">
      <c r="A23" s="8">
        <v>22</v>
      </c>
    </row>
    <row r="24" spans="1:1">
      <c r="A24" s="8">
        <v>23</v>
      </c>
    </row>
    <row r="25" spans="1:1">
      <c r="A25" s="8">
        <v>24</v>
      </c>
    </row>
    <row r="26" spans="1:1">
      <c r="A26" s="8">
        <v>25</v>
      </c>
    </row>
    <row r="27" spans="1:1">
      <c r="A27" s="8">
        <v>26</v>
      </c>
    </row>
    <row r="28" spans="1:1">
      <c r="A28" s="8">
        <v>27</v>
      </c>
    </row>
    <row r="29" spans="1:1">
      <c r="A29" s="8">
        <v>28</v>
      </c>
    </row>
    <row r="30" spans="1:1">
      <c r="A30" s="8">
        <v>29</v>
      </c>
    </row>
    <row r="31" spans="1:1">
      <c r="A31" s="8">
        <v>30</v>
      </c>
    </row>
    <row r="32" spans="1:1">
      <c r="A32" s="8">
        <v>31</v>
      </c>
    </row>
    <row r="33" spans="1:1">
      <c r="A33" s="8">
        <v>32</v>
      </c>
    </row>
    <row r="34" spans="1:1">
      <c r="A34" s="8">
        <v>33</v>
      </c>
    </row>
    <row r="35" spans="1:1">
      <c r="A35" s="8">
        <v>34</v>
      </c>
    </row>
    <row r="36" spans="1:1">
      <c r="A36" s="8">
        <v>35</v>
      </c>
    </row>
    <row r="37" spans="1:1">
      <c r="A37" s="8">
        <v>36</v>
      </c>
    </row>
    <row r="38" spans="1:1">
      <c r="A38" s="8">
        <v>37</v>
      </c>
    </row>
    <row r="39" spans="1:1">
      <c r="A39" s="8">
        <v>38</v>
      </c>
    </row>
    <row r="40" spans="1:1">
      <c r="A40" s="8">
        <v>39</v>
      </c>
    </row>
    <row r="41" spans="1:1">
      <c r="A41" s="8">
        <v>40</v>
      </c>
    </row>
    <row r="42" spans="1:1">
      <c r="A42" s="8">
        <v>41</v>
      </c>
    </row>
    <row r="43" spans="1:1">
      <c r="A43" s="8">
        <v>42</v>
      </c>
    </row>
    <row r="44" spans="1:1">
      <c r="A44" s="8">
        <v>43</v>
      </c>
    </row>
    <row r="45" spans="1:1">
      <c r="A45" s="8">
        <v>44</v>
      </c>
    </row>
    <row r="46" spans="1:1">
      <c r="A46" s="8">
        <v>45</v>
      </c>
    </row>
    <row r="47" spans="1:1">
      <c r="A47" s="8">
        <v>46</v>
      </c>
    </row>
    <row r="48" spans="1:1">
      <c r="A48" s="8">
        <v>47</v>
      </c>
    </row>
    <row r="49" spans="1:1">
      <c r="A49" s="8">
        <v>48</v>
      </c>
    </row>
    <row r="50" spans="1:1">
      <c r="A50" s="8">
        <v>49</v>
      </c>
    </row>
    <row r="51" spans="1:1">
      <c r="A51" s="8">
        <v>50</v>
      </c>
    </row>
    <row r="52" spans="1:1">
      <c r="A52" s="8">
        <v>51</v>
      </c>
    </row>
    <row r="53" spans="1:1">
      <c r="A53" s="8">
        <v>52</v>
      </c>
    </row>
    <row r="54" spans="1:1">
      <c r="A54" s="8">
        <v>53</v>
      </c>
    </row>
    <row r="55" spans="1:1">
      <c r="A55" s="8">
        <v>54</v>
      </c>
    </row>
    <row r="56" spans="1:1">
      <c r="A56" s="8">
        <v>55</v>
      </c>
    </row>
    <row r="57" spans="1:1">
      <c r="A57" s="8">
        <v>56</v>
      </c>
    </row>
    <row r="58" spans="1:1">
      <c r="A58" s="8">
        <v>57</v>
      </c>
    </row>
    <row r="59" spans="1:1">
      <c r="A59" s="8">
        <v>58</v>
      </c>
    </row>
    <row r="60" spans="1:1">
      <c r="A60" s="8">
        <v>59</v>
      </c>
    </row>
    <row r="61" spans="1:1">
      <c r="A61" s="8">
        <v>60</v>
      </c>
    </row>
    <row r="62" spans="1:1">
      <c r="A62" s="8">
        <v>61</v>
      </c>
    </row>
    <row r="63" spans="1:1">
      <c r="A63" s="8">
        <v>62</v>
      </c>
    </row>
    <row r="64" spans="1:1">
      <c r="A64" s="8">
        <v>63</v>
      </c>
    </row>
    <row r="65" spans="1:1">
      <c r="A65" s="8">
        <v>64</v>
      </c>
    </row>
    <row r="66" spans="1:1">
      <c r="A66" s="8">
        <v>65</v>
      </c>
    </row>
    <row r="67" spans="1:1">
      <c r="A67" s="8">
        <v>66</v>
      </c>
    </row>
    <row r="68" spans="1:1">
      <c r="A68" s="8">
        <v>67</v>
      </c>
    </row>
    <row r="69" spans="1:1">
      <c r="A69" s="8">
        <v>68</v>
      </c>
    </row>
    <row r="70" spans="1:1">
      <c r="A70" s="8">
        <v>69</v>
      </c>
    </row>
    <row r="71" spans="1:1">
      <c r="A71" s="8">
        <v>70</v>
      </c>
    </row>
    <row r="72" spans="1:1">
      <c r="A72" s="8">
        <v>71</v>
      </c>
    </row>
    <row r="73" spans="1:1">
      <c r="A73" s="8">
        <v>72</v>
      </c>
    </row>
    <row r="74" spans="1:1">
      <c r="A74" s="8">
        <v>73</v>
      </c>
    </row>
    <row r="75" spans="1:1">
      <c r="A75" s="8">
        <v>74</v>
      </c>
    </row>
    <row r="76" spans="1:1">
      <c r="A76" s="8">
        <v>75</v>
      </c>
    </row>
    <row r="77" spans="1:1">
      <c r="A77" s="8">
        <v>76</v>
      </c>
    </row>
    <row r="78" spans="1:1">
      <c r="A78" s="8">
        <v>77</v>
      </c>
    </row>
    <row r="79" spans="1:1">
      <c r="A79" s="8">
        <v>78</v>
      </c>
    </row>
    <row r="80" spans="1:1">
      <c r="A80" s="8">
        <v>79</v>
      </c>
    </row>
    <row r="81" spans="1:1">
      <c r="A81" s="8">
        <v>80</v>
      </c>
    </row>
    <row r="82" spans="1:1">
      <c r="A82" s="8">
        <v>81</v>
      </c>
    </row>
    <row r="83" spans="1:1">
      <c r="A83" s="8">
        <v>82</v>
      </c>
    </row>
    <row r="84" spans="1:1">
      <c r="A84" s="8">
        <v>83</v>
      </c>
    </row>
    <row r="85" spans="1:1">
      <c r="A85" s="8">
        <v>84</v>
      </c>
    </row>
    <row r="86" spans="1:1">
      <c r="A86" s="8">
        <v>85</v>
      </c>
    </row>
    <row r="87" spans="1:1">
      <c r="A87" s="8">
        <v>86</v>
      </c>
    </row>
    <row r="88" spans="1:1">
      <c r="A88" s="8">
        <v>87</v>
      </c>
    </row>
    <row r="89" spans="1:1">
      <c r="A89" s="8">
        <v>88</v>
      </c>
    </row>
    <row r="90" spans="1:1">
      <c r="A90" s="8">
        <v>89</v>
      </c>
    </row>
    <row r="91" spans="1:1">
      <c r="A91" s="8">
        <v>90</v>
      </c>
    </row>
    <row r="92" spans="1:1">
      <c r="A92" s="8">
        <v>91</v>
      </c>
    </row>
    <row r="93" spans="1:1">
      <c r="A93" s="8">
        <v>92</v>
      </c>
    </row>
    <row r="94" spans="1:1">
      <c r="A94" s="8">
        <v>93</v>
      </c>
    </row>
    <row r="95" spans="1:1">
      <c r="A95" s="8">
        <v>94</v>
      </c>
    </row>
    <row r="96" spans="1:1">
      <c r="A96" s="8">
        <v>95</v>
      </c>
    </row>
    <row r="97" spans="1:1">
      <c r="A97" s="8">
        <v>96</v>
      </c>
    </row>
    <row r="98" spans="1:1">
      <c r="A98" s="8">
        <v>97</v>
      </c>
    </row>
    <row r="99" spans="1:1">
      <c r="A99" s="8">
        <v>98</v>
      </c>
    </row>
    <row r="100" spans="1:1">
      <c r="A100" s="8">
        <v>99</v>
      </c>
    </row>
    <row r="101" spans="1:1">
      <c r="A101" s="8">
        <v>100</v>
      </c>
    </row>
    <row r="102" spans="1:1">
      <c r="A102" s="8">
        <v>101</v>
      </c>
    </row>
    <row r="103" spans="1:1">
      <c r="A103" s="8">
        <v>102</v>
      </c>
    </row>
    <row r="104" spans="1:1">
      <c r="A104" s="8">
        <v>103</v>
      </c>
    </row>
    <row r="105" spans="1:1">
      <c r="A105" s="8">
        <v>104</v>
      </c>
    </row>
    <row r="106" spans="1:1">
      <c r="A106" s="8">
        <v>105</v>
      </c>
    </row>
    <row r="107" spans="1:1">
      <c r="A107" s="8">
        <v>106</v>
      </c>
    </row>
    <row r="108" spans="1:1">
      <c r="A108" s="8">
        <v>107</v>
      </c>
    </row>
    <row r="109" spans="1:1">
      <c r="A109" s="8">
        <v>108</v>
      </c>
    </row>
    <row r="110" spans="1:1">
      <c r="A110" s="8">
        <v>109</v>
      </c>
    </row>
    <row r="111" spans="1:1">
      <c r="A111" s="8">
        <v>110</v>
      </c>
    </row>
    <row r="112" spans="1:1">
      <c r="A112" s="8">
        <v>111</v>
      </c>
    </row>
    <row r="113" spans="1:1">
      <c r="A113" s="8">
        <v>112</v>
      </c>
    </row>
    <row r="114" spans="1:1">
      <c r="A114" s="8">
        <v>113</v>
      </c>
    </row>
    <row r="115" spans="1:1">
      <c r="A115" s="8">
        <v>114</v>
      </c>
    </row>
    <row r="116" spans="1:1">
      <c r="A116" s="8">
        <v>115</v>
      </c>
    </row>
    <row r="117" spans="1:1">
      <c r="A117" s="8">
        <v>116</v>
      </c>
    </row>
    <row r="118" spans="1:1">
      <c r="A118" s="8">
        <v>117</v>
      </c>
    </row>
    <row r="119" spans="1:1">
      <c r="A119" s="8">
        <v>118</v>
      </c>
    </row>
    <row r="120" spans="1:1">
      <c r="A120" s="8">
        <v>119</v>
      </c>
    </row>
    <row r="121" spans="1:1">
      <c r="A121" s="8">
        <v>120</v>
      </c>
    </row>
    <row r="122" spans="1:1">
      <c r="A122" s="8">
        <v>121</v>
      </c>
    </row>
    <row r="123" spans="1:1">
      <c r="A123" s="8">
        <v>122</v>
      </c>
    </row>
    <row r="124" spans="1:1">
      <c r="A124" s="8">
        <v>123</v>
      </c>
    </row>
    <row r="125" spans="1:1">
      <c r="A125" s="8">
        <v>124</v>
      </c>
    </row>
    <row r="126" spans="1:1">
      <c r="A126" s="8">
        <v>125</v>
      </c>
    </row>
    <row r="127" spans="1:1">
      <c r="A127" s="8">
        <v>126</v>
      </c>
    </row>
    <row r="128" spans="1:1">
      <c r="A128" s="8">
        <v>127</v>
      </c>
    </row>
    <row r="129" spans="1:1">
      <c r="A129" s="8">
        <v>128</v>
      </c>
    </row>
    <row r="130" spans="1:1">
      <c r="A130" s="8">
        <v>129</v>
      </c>
    </row>
    <row r="131" spans="1:1">
      <c r="A131" s="8">
        <v>130</v>
      </c>
    </row>
    <row r="132" spans="1:1">
      <c r="A132" s="8">
        <v>131</v>
      </c>
    </row>
    <row r="133" spans="1:1">
      <c r="A133" s="8">
        <v>132</v>
      </c>
    </row>
    <row r="134" spans="1:1">
      <c r="A134" s="8">
        <v>133</v>
      </c>
    </row>
    <row r="135" spans="1:1">
      <c r="A135" s="8">
        <v>134</v>
      </c>
    </row>
    <row r="136" spans="1:1">
      <c r="A136" s="8">
        <v>135</v>
      </c>
    </row>
    <row r="137" spans="1:1">
      <c r="A137" s="8">
        <v>136</v>
      </c>
    </row>
    <row r="138" spans="1:1">
      <c r="A138" s="8">
        <v>137</v>
      </c>
    </row>
    <row r="139" spans="1:1">
      <c r="A139" s="8">
        <v>138</v>
      </c>
    </row>
    <row r="140" spans="1:1">
      <c r="A140" s="8">
        <v>139</v>
      </c>
    </row>
    <row r="141" spans="1:1">
      <c r="A141" s="8">
        <v>140</v>
      </c>
    </row>
    <row r="142" spans="1:1">
      <c r="A142" s="8">
        <v>141</v>
      </c>
    </row>
    <row r="143" spans="1:1">
      <c r="A143" s="8">
        <v>142</v>
      </c>
    </row>
    <row r="144" spans="1:1">
      <c r="A144" s="8">
        <v>143</v>
      </c>
    </row>
    <row r="145" spans="1:1">
      <c r="A145" s="8">
        <v>144</v>
      </c>
    </row>
    <row r="146" spans="1:1">
      <c r="A146" s="8">
        <v>145</v>
      </c>
    </row>
    <row r="147" spans="1:1">
      <c r="A147" s="8">
        <v>146</v>
      </c>
    </row>
    <row r="148" spans="1:1">
      <c r="A148" s="8">
        <v>147</v>
      </c>
    </row>
    <row r="149" spans="1:1">
      <c r="A149" s="8">
        <v>148</v>
      </c>
    </row>
    <row r="150" spans="1:1">
      <c r="A150" s="8">
        <v>149</v>
      </c>
    </row>
    <row r="151" spans="1:1">
      <c r="A151" s="8">
        <v>150</v>
      </c>
    </row>
    <row r="152" spans="1:1">
      <c r="A152" s="8">
        <v>151</v>
      </c>
    </row>
    <row r="153" spans="1:1">
      <c r="A153" s="8">
        <v>152</v>
      </c>
    </row>
    <row r="154" spans="1:1">
      <c r="A154" s="8">
        <v>153</v>
      </c>
    </row>
    <row r="155" spans="1:1">
      <c r="A155" s="8">
        <v>154</v>
      </c>
    </row>
    <row r="156" spans="1:1">
      <c r="A156" s="8">
        <v>155</v>
      </c>
    </row>
    <row r="157" spans="1:1">
      <c r="A157" s="8">
        <v>156</v>
      </c>
    </row>
    <row r="158" spans="1:1">
      <c r="A158" s="8">
        <v>157</v>
      </c>
    </row>
    <row r="159" spans="1:1">
      <c r="A159" s="8">
        <v>158</v>
      </c>
    </row>
    <row r="160" spans="1:1">
      <c r="A160" s="8">
        <v>159</v>
      </c>
    </row>
    <row r="161" spans="1:1">
      <c r="A161" s="8">
        <v>160</v>
      </c>
    </row>
    <row r="162" spans="1:1">
      <c r="A162" s="8">
        <v>161</v>
      </c>
    </row>
    <row r="163" spans="1:1">
      <c r="A163" s="8">
        <v>162</v>
      </c>
    </row>
    <row r="164" spans="1:1">
      <c r="A164" s="8">
        <v>163</v>
      </c>
    </row>
    <row r="165" spans="1:1">
      <c r="A165" s="8">
        <v>164</v>
      </c>
    </row>
    <row r="166" spans="1:1">
      <c r="A166" s="8">
        <v>165</v>
      </c>
    </row>
    <row r="167" spans="1:1">
      <c r="A167" s="8">
        <v>166</v>
      </c>
    </row>
    <row r="168" spans="1:1">
      <c r="A168" s="8">
        <v>167</v>
      </c>
    </row>
    <row r="169" spans="1:1">
      <c r="A169" s="8">
        <v>168</v>
      </c>
    </row>
    <row r="170" spans="1:1">
      <c r="A170" s="8">
        <v>169</v>
      </c>
    </row>
    <row r="171" spans="1:1">
      <c r="A171" s="8">
        <v>170</v>
      </c>
    </row>
    <row r="172" spans="1:1">
      <c r="A172" s="8">
        <v>171</v>
      </c>
    </row>
    <row r="173" spans="1:1">
      <c r="A173" s="8">
        <v>172</v>
      </c>
    </row>
    <row r="174" spans="1:1">
      <c r="A174" s="8">
        <v>173</v>
      </c>
    </row>
    <row r="175" spans="1:1">
      <c r="A175" s="8">
        <v>174</v>
      </c>
    </row>
    <row r="176" spans="1:1">
      <c r="A176" s="8">
        <v>175</v>
      </c>
    </row>
    <row r="177" spans="1:1">
      <c r="A177" s="8">
        <v>176</v>
      </c>
    </row>
    <row r="178" spans="1:1">
      <c r="A178" s="8">
        <v>177</v>
      </c>
    </row>
    <row r="179" spans="1:1">
      <c r="A179" s="8">
        <v>178</v>
      </c>
    </row>
    <row r="180" spans="1:1">
      <c r="A180" s="8">
        <v>179</v>
      </c>
    </row>
    <row r="181" spans="1:1">
      <c r="A181" s="8">
        <v>180</v>
      </c>
    </row>
    <row r="182" spans="1:1">
      <c r="A182" s="8">
        <v>181</v>
      </c>
    </row>
    <row r="183" spans="1:1">
      <c r="A183" s="8">
        <v>182</v>
      </c>
    </row>
    <row r="184" spans="1:1">
      <c r="A184" s="8">
        <v>183</v>
      </c>
    </row>
    <row r="185" spans="1:1">
      <c r="A185" s="8">
        <v>184</v>
      </c>
    </row>
    <row r="186" spans="1:1">
      <c r="A186" s="8">
        <v>185</v>
      </c>
    </row>
    <row r="187" spans="1:1">
      <c r="A187" s="8">
        <v>186</v>
      </c>
    </row>
    <row r="188" spans="1:1">
      <c r="A188" s="8">
        <v>187</v>
      </c>
    </row>
    <row r="189" spans="1:1">
      <c r="A189" s="8">
        <v>188</v>
      </c>
    </row>
    <row r="190" spans="1:1">
      <c r="A190" s="8">
        <v>189</v>
      </c>
    </row>
    <row r="191" spans="1:1">
      <c r="A191" s="8">
        <v>190</v>
      </c>
    </row>
    <row r="192" spans="1:1">
      <c r="A192" s="8">
        <v>191</v>
      </c>
    </row>
    <row r="193" spans="1:1">
      <c r="A193" s="8">
        <v>192</v>
      </c>
    </row>
    <row r="194" spans="1:1">
      <c r="A194" s="8">
        <v>193</v>
      </c>
    </row>
    <row r="195" spans="1:1">
      <c r="A195" s="8">
        <v>194</v>
      </c>
    </row>
    <row r="196" spans="1:1">
      <c r="A196" s="8">
        <v>195</v>
      </c>
    </row>
    <row r="197" spans="1:1">
      <c r="A197" s="8">
        <v>196</v>
      </c>
    </row>
    <row r="198" spans="1:1">
      <c r="A198" s="8">
        <v>197</v>
      </c>
    </row>
    <row r="199" spans="1:1">
      <c r="A199" s="8">
        <v>198</v>
      </c>
    </row>
    <row r="200" spans="1:1">
      <c r="A200" s="8">
        <v>199</v>
      </c>
    </row>
    <row r="201" spans="1:1">
      <c r="A201" s="8">
        <v>200</v>
      </c>
    </row>
    <row r="202" spans="1:1">
      <c r="A202" s="8">
        <v>201</v>
      </c>
    </row>
    <row r="203" spans="1:1">
      <c r="A203" s="8">
        <v>202</v>
      </c>
    </row>
    <row r="204" spans="1:1">
      <c r="A204" s="8">
        <v>203</v>
      </c>
    </row>
    <row r="205" spans="1:1">
      <c r="A205" s="8">
        <v>204</v>
      </c>
    </row>
    <row r="206" spans="1:1">
      <c r="A206" s="8">
        <v>205</v>
      </c>
    </row>
    <row r="207" spans="1:1">
      <c r="A207" s="8">
        <v>206</v>
      </c>
    </row>
    <row r="208" spans="1:1">
      <c r="A208" s="8">
        <v>207</v>
      </c>
    </row>
    <row r="209" spans="1:1">
      <c r="A209" s="8">
        <v>208</v>
      </c>
    </row>
    <row r="210" spans="1:1">
      <c r="A210" s="8">
        <v>209</v>
      </c>
    </row>
    <row r="211" spans="1:1">
      <c r="A211" s="8">
        <v>210</v>
      </c>
    </row>
    <row r="212" spans="1:1">
      <c r="A212" s="8">
        <v>211</v>
      </c>
    </row>
    <row r="213" spans="1:1">
      <c r="A213" s="8">
        <v>212</v>
      </c>
    </row>
    <row r="214" spans="1:1">
      <c r="A214" s="8">
        <v>213</v>
      </c>
    </row>
    <row r="215" spans="1:1">
      <c r="A215" s="8">
        <v>214</v>
      </c>
    </row>
    <row r="216" spans="1:1">
      <c r="A216" s="8">
        <v>215</v>
      </c>
    </row>
    <row r="217" spans="1:1">
      <c r="A217" s="8">
        <v>216</v>
      </c>
    </row>
    <row r="218" spans="1:1">
      <c r="A218" s="8">
        <v>217</v>
      </c>
    </row>
    <row r="219" spans="1:1">
      <c r="A219" s="8">
        <v>218</v>
      </c>
    </row>
    <row r="220" spans="1:1">
      <c r="A220" s="8">
        <v>219</v>
      </c>
    </row>
    <row r="221" spans="1:1">
      <c r="A221" s="8">
        <v>220</v>
      </c>
    </row>
    <row r="222" spans="1:1">
      <c r="A222" s="8">
        <v>221</v>
      </c>
    </row>
    <row r="223" spans="1:1">
      <c r="A223" s="8">
        <v>222</v>
      </c>
    </row>
    <row r="224" spans="1:1">
      <c r="A224" s="8">
        <v>223</v>
      </c>
    </row>
    <row r="225" spans="1:1">
      <c r="A225" s="8">
        <v>224</v>
      </c>
    </row>
    <row r="226" spans="1:1">
      <c r="A226" s="8">
        <v>225</v>
      </c>
    </row>
    <row r="227" spans="1:1">
      <c r="A227" s="8">
        <v>226</v>
      </c>
    </row>
    <row r="228" spans="1:1">
      <c r="A228" s="8">
        <v>227</v>
      </c>
    </row>
    <row r="229" spans="1:1">
      <c r="A229" s="8">
        <v>228</v>
      </c>
    </row>
    <row r="230" spans="1:1">
      <c r="A230" s="8">
        <v>229</v>
      </c>
    </row>
    <row r="231" spans="1:1">
      <c r="A231" s="8">
        <v>230</v>
      </c>
    </row>
    <row r="232" spans="1:1">
      <c r="A232" s="8">
        <v>231</v>
      </c>
    </row>
    <row r="233" spans="1:1">
      <c r="A233" s="8">
        <v>232</v>
      </c>
    </row>
    <row r="234" spans="1:1">
      <c r="A234" s="8">
        <v>233</v>
      </c>
    </row>
    <row r="235" spans="1:1">
      <c r="A235" s="8">
        <v>234</v>
      </c>
    </row>
    <row r="236" spans="1:1">
      <c r="A236" s="8">
        <v>235</v>
      </c>
    </row>
    <row r="237" spans="1:1">
      <c r="A237" s="8">
        <v>236</v>
      </c>
    </row>
    <row r="238" spans="1:1">
      <c r="A238" s="8">
        <v>237</v>
      </c>
    </row>
    <row r="239" spans="1:1">
      <c r="A239" s="8">
        <v>238</v>
      </c>
    </row>
    <row r="240" spans="1:1">
      <c r="A240" s="8">
        <v>239</v>
      </c>
    </row>
    <row r="241" spans="1:1">
      <c r="A241" s="8">
        <v>240</v>
      </c>
    </row>
    <row r="242" spans="1:1">
      <c r="A242" s="8">
        <v>241</v>
      </c>
    </row>
    <row r="243" spans="1:1">
      <c r="A243" s="8">
        <v>242</v>
      </c>
    </row>
    <row r="244" spans="1:1">
      <c r="A244" s="8">
        <v>243</v>
      </c>
    </row>
    <row r="245" spans="1:1">
      <c r="A245" s="8">
        <v>244</v>
      </c>
    </row>
    <row r="246" spans="1:1">
      <c r="A246" s="8">
        <v>245</v>
      </c>
    </row>
    <row r="247" spans="1:1">
      <c r="A247" s="8">
        <v>246</v>
      </c>
    </row>
    <row r="248" spans="1:1">
      <c r="A248" s="8">
        <v>247</v>
      </c>
    </row>
    <row r="249" spans="1:1">
      <c r="A249" s="8">
        <v>248</v>
      </c>
    </row>
    <row r="250" spans="1:1">
      <c r="A250" s="8">
        <v>249</v>
      </c>
    </row>
    <row r="251" spans="1:1">
      <c r="A251" s="8">
        <v>250</v>
      </c>
    </row>
    <row r="252" spans="1:1">
      <c r="A252" s="8">
        <v>251</v>
      </c>
    </row>
    <row r="253" spans="1:1">
      <c r="A253" s="8">
        <v>252</v>
      </c>
    </row>
    <row r="254" spans="1:1">
      <c r="A254" s="8">
        <v>253</v>
      </c>
    </row>
    <row r="255" spans="1:1">
      <c r="A255" s="8">
        <v>254</v>
      </c>
    </row>
    <row r="256" spans="1:1">
      <c r="A256" s="8">
        <v>255</v>
      </c>
    </row>
    <row r="257" spans="1:1">
      <c r="A257" s="8">
        <v>256</v>
      </c>
    </row>
    <row r="258" spans="1:1">
      <c r="A258" s="8">
        <v>257</v>
      </c>
    </row>
    <row r="259" spans="1:1">
      <c r="A259" s="8">
        <v>258</v>
      </c>
    </row>
    <row r="260" spans="1:1">
      <c r="A260" s="8">
        <v>259</v>
      </c>
    </row>
    <row r="261" spans="1:1">
      <c r="A261" s="8">
        <v>260</v>
      </c>
    </row>
    <row r="262" spans="1:1">
      <c r="A262" s="8">
        <v>261</v>
      </c>
    </row>
    <row r="263" spans="1:1">
      <c r="A263" s="8">
        <v>262</v>
      </c>
    </row>
    <row r="264" spans="1:1">
      <c r="A264" s="8">
        <v>263</v>
      </c>
    </row>
    <row r="265" spans="1:1">
      <c r="A265" s="8">
        <v>264</v>
      </c>
    </row>
    <row r="266" spans="1:1">
      <c r="A266" s="8">
        <v>265</v>
      </c>
    </row>
    <row r="267" spans="1:1">
      <c r="A267" s="8">
        <v>266</v>
      </c>
    </row>
    <row r="268" spans="1:1">
      <c r="A268" s="8">
        <v>267</v>
      </c>
    </row>
    <row r="269" spans="1:1">
      <c r="A269" s="8">
        <v>268</v>
      </c>
    </row>
    <row r="270" spans="1:1">
      <c r="A270" s="8">
        <v>269</v>
      </c>
    </row>
    <row r="271" spans="1:1">
      <c r="A271" s="8">
        <v>270</v>
      </c>
    </row>
    <row r="272" spans="1:1">
      <c r="A272" s="8">
        <v>271</v>
      </c>
    </row>
    <row r="273" spans="1:1">
      <c r="A273" s="8">
        <v>272</v>
      </c>
    </row>
    <row r="274" spans="1:1">
      <c r="A274" s="8">
        <v>273</v>
      </c>
    </row>
    <row r="275" spans="1:1">
      <c r="A275" s="8">
        <v>274</v>
      </c>
    </row>
    <row r="276" spans="1:1">
      <c r="A276" s="8">
        <v>275</v>
      </c>
    </row>
    <row r="277" spans="1:1">
      <c r="A277" s="8">
        <v>276</v>
      </c>
    </row>
    <row r="278" spans="1:1">
      <c r="A278" s="8">
        <v>277</v>
      </c>
    </row>
    <row r="279" spans="1:1">
      <c r="A279" s="8">
        <v>278</v>
      </c>
    </row>
    <row r="280" spans="1:1">
      <c r="A280" s="8">
        <v>279</v>
      </c>
    </row>
    <row r="281" spans="1:1">
      <c r="A281" s="8">
        <v>280</v>
      </c>
    </row>
    <row r="282" spans="1:1">
      <c r="A282" s="8">
        <v>281</v>
      </c>
    </row>
    <row r="283" spans="1:1">
      <c r="A283" s="8">
        <v>282</v>
      </c>
    </row>
    <row r="284" spans="1:1">
      <c r="A284" s="8">
        <v>283</v>
      </c>
    </row>
    <row r="285" spans="1:1">
      <c r="A285" s="8">
        <v>284</v>
      </c>
    </row>
    <row r="286" spans="1:1">
      <c r="A286" s="8">
        <v>285</v>
      </c>
    </row>
    <row r="287" spans="1:1">
      <c r="A287" s="8">
        <v>286</v>
      </c>
    </row>
    <row r="288" spans="1:1">
      <c r="A288" s="8">
        <v>287</v>
      </c>
    </row>
    <row r="289" spans="1:1">
      <c r="A289" s="8">
        <v>288</v>
      </c>
    </row>
    <row r="290" spans="1:1">
      <c r="A290" s="8">
        <v>289</v>
      </c>
    </row>
    <row r="291" spans="1:1">
      <c r="A291" s="8">
        <v>290</v>
      </c>
    </row>
    <row r="292" spans="1:1">
      <c r="A292" s="8">
        <v>291</v>
      </c>
    </row>
    <row r="293" spans="1:1">
      <c r="A293" s="8">
        <v>292</v>
      </c>
    </row>
    <row r="294" spans="1:1">
      <c r="A294" s="8">
        <v>293</v>
      </c>
    </row>
    <row r="295" spans="1:1">
      <c r="A295" s="8">
        <v>294</v>
      </c>
    </row>
    <row r="296" spans="1:1">
      <c r="A296" s="8">
        <v>295</v>
      </c>
    </row>
    <row r="297" spans="1:1">
      <c r="A297" s="8">
        <v>296</v>
      </c>
    </row>
    <row r="298" spans="1:1">
      <c r="A298" s="8">
        <v>297</v>
      </c>
    </row>
    <row r="299" spans="1:1">
      <c r="A299" s="8">
        <v>298</v>
      </c>
    </row>
    <row r="300" spans="1:1">
      <c r="A300" s="8">
        <v>299</v>
      </c>
    </row>
    <row r="301" spans="1:1">
      <c r="A301" s="8">
        <v>300</v>
      </c>
    </row>
    <row r="302" spans="1:1">
      <c r="A302" s="8">
        <v>301</v>
      </c>
    </row>
    <row r="303" spans="1:1">
      <c r="A303" s="8">
        <v>302</v>
      </c>
    </row>
    <row r="304" spans="1:1">
      <c r="A304" s="8">
        <v>303</v>
      </c>
    </row>
    <row r="305" spans="1:1">
      <c r="A305" s="8">
        <v>304</v>
      </c>
    </row>
    <row r="306" spans="1:1">
      <c r="A306" s="8">
        <v>305</v>
      </c>
    </row>
    <row r="307" spans="1:1">
      <c r="A307" s="8">
        <v>306</v>
      </c>
    </row>
    <row r="308" spans="1:1">
      <c r="A308" s="8">
        <v>307</v>
      </c>
    </row>
    <row r="309" spans="1:1">
      <c r="A309" s="8">
        <v>308</v>
      </c>
    </row>
    <row r="310" spans="1:1">
      <c r="A310" s="8">
        <v>309</v>
      </c>
    </row>
    <row r="311" spans="1:1">
      <c r="A311" s="8">
        <v>310</v>
      </c>
    </row>
    <row r="312" spans="1:1">
      <c r="A312" s="8">
        <v>311</v>
      </c>
    </row>
    <row r="313" spans="1:1">
      <c r="A313" s="8">
        <v>312</v>
      </c>
    </row>
    <row r="314" spans="1:1">
      <c r="A314" s="8">
        <v>313</v>
      </c>
    </row>
    <row r="315" spans="1:1">
      <c r="A315" s="8">
        <v>314</v>
      </c>
    </row>
    <row r="316" spans="1:1">
      <c r="A316" s="8">
        <v>315</v>
      </c>
    </row>
    <row r="317" spans="1:1">
      <c r="A317" s="8">
        <v>316</v>
      </c>
    </row>
    <row r="318" spans="1:1">
      <c r="A318" s="8">
        <v>317</v>
      </c>
    </row>
    <row r="319" spans="1:1">
      <c r="A319" s="8">
        <v>318</v>
      </c>
    </row>
    <row r="320" spans="1:1">
      <c r="A320" s="8">
        <v>319</v>
      </c>
    </row>
    <row r="321" spans="1:1">
      <c r="A321" s="8">
        <v>320</v>
      </c>
    </row>
    <row r="322" spans="1:1">
      <c r="A322" s="8">
        <v>321</v>
      </c>
    </row>
    <row r="323" spans="1:1">
      <c r="A323" s="8">
        <v>322</v>
      </c>
    </row>
    <row r="324" spans="1:1">
      <c r="A324" s="8">
        <v>323</v>
      </c>
    </row>
    <row r="325" spans="1:1">
      <c r="A325" s="8">
        <v>324</v>
      </c>
    </row>
    <row r="326" spans="1:1">
      <c r="A326" s="8">
        <v>325</v>
      </c>
    </row>
    <row r="327" spans="1:1">
      <c r="A327" s="8">
        <v>326</v>
      </c>
    </row>
    <row r="328" spans="1:1">
      <c r="A328" s="8">
        <v>327</v>
      </c>
    </row>
    <row r="329" spans="1:1">
      <c r="A329" s="8">
        <v>328</v>
      </c>
    </row>
    <row r="330" spans="1:1">
      <c r="A330" s="8">
        <v>329</v>
      </c>
    </row>
    <row r="331" spans="1:1">
      <c r="A331" s="8">
        <v>330</v>
      </c>
    </row>
    <row r="332" spans="1:1">
      <c r="A332" s="8">
        <v>331</v>
      </c>
    </row>
    <row r="333" spans="1:1">
      <c r="A333" s="8">
        <v>332</v>
      </c>
    </row>
    <row r="334" spans="1:1">
      <c r="A334" s="8">
        <v>333</v>
      </c>
    </row>
    <row r="335" spans="1:1">
      <c r="A335" s="8">
        <v>334</v>
      </c>
    </row>
    <row r="336" spans="1:1">
      <c r="A336" s="8">
        <v>335</v>
      </c>
    </row>
    <row r="337" spans="1:1">
      <c r="A337" s="8">
        <v>336</v>
      </c>
    </row>
    <row r="338" spans="1:1">
      <c r="A338" s="8">
        <v>337</v>
      </c>
    </row>
    <row r="339" spans="1:1">
      <c r="A339" s="8">
        <v>338</v>
      </c>
    </row>
    <row r="340" spans="1:1">
      <c r="A340" s="8">
        <v>339</v>
      </c>
    </row>
    <row r="341" spans="1:1">
      <c r="A341" s="8">
        <v>340</v>
      </c>
    </row>
    <row r="342" spans="1:1">
      <c r="A342" s="8">
        <v>341</v>
      </c>
    </row>
    <row r="343" spans="1:1">
      <c r="A343" s="8">
        <v>342</v>
      </c>
    </row>
    <row r="344" spans="1:1">
      <c r="A344" s="8">
        <v>343</v>
      </c>
    </row>
    <row r="345" spans="1:1">
      <c r="A345" s="8">
        <v>344</v>
      </c>
    </row>
    <row r="346" spans="1:1">
      <c r="A346" s="8">
        <v>345</v>
      </c>
    </row>
    <row r="347" spans="1:1">
      <c r="A347" s="8">
        <v>346</v>
      </c>
    </row>
    <row r="348" spans="1:1">
      <c r="A348" s="8">
        <v>347</v>
      </c>
    </row>
    <row r="349" spans="1:1">
      <c r="A349" s="8">
        <v>348</v>
      </c>
    </row>
    <row r="350" spans="1:1">
      <c r="A350" s="8">
        <v>349</v>
      </c>
    </row>
    <row r="351" spans="1:1">
      <c r="A351" s="8">
        <v>350</v>
      </c>
    </row>
    <row r="352" spans="1:1">
      <c r="A352" s="8">
        <v>351</v>
      </c>
    </row>
    <row r="353" spans="1:1">
      <c r="A353" s="8">
        <v>352</v>
      </c>
    </row>
    <row r="354" spans="1:1">
      <c r="A354" s="8">
        <v>353</v>
      </c>
    </row>
    <row r="355" spans="1:1">
      <c r="A355" s="8">
        <v>354</v>
      </c>
    </row>
    <row r="356" spans="1:1">
      <c r="A356" s="8">
        <v>355</v>
      </c>
    </row>
    <row r="357" spans="1:1">
      <c r="A357" s="8">
        <v>356</v>
      </c>
    </row>
    <row r="358" spans="1:1">
      <c r="A358" s="8">
        <v>357</v>
      </c>
    </row>
    <row r="359" spans="1:1">
      <c r="A359" s="8">
        <v>358</v>
      </c>
    </row>
    <row r="360" spans="1:1">
      <c r="A360" s="8">
        <v>359</v>
      </c>
    </row>
    <row r="361" spans="1:1">
      <c r="A361" s="8">
        <v>360</v>
      </c>
    </row>
    <row r="362" spans="1:1">
      <c r="A362" s="8">
        <v>361</v>
      </c>
    </row>
    <row r="363" spans="1:1">
      <c r="A363" s="8">
        <v>362</v>
      </c>
    </row>
    <row r="364" spans="1:1">
      <c r="A364" s="8">
        <v>363</v>
      </c>
    </row>
    <row r="365" spans="1:1">
      <c r="A365" s="8">
        <v>364</v>
      </c>
    </row>
    <row r="366" spans="1:1">
      <c r="A366" s="8">
        <v>365</v>
      </c>
    </row>
    <row r="367" spans="1:1">
      <c r="A367" s="8">
        <v>366</v>
      </c>
    </row>
    <row r="368" spans="1:1">
      <c r="A368" s="8">
        <v>367</v>
      </c>
    </row>
    <row r="369" spans="1:1">
      <c r="A369" s="8">
        <v>368</v>
      </c>
    </row>
    <row r="370" spans="1:1">
      <c r="A370" s="8">
        <v>369</v>
      </c>
    </row>
    <row r="371" spans="1:1">
      <c r="A371" s="8">
        <v>370</v>
      </c>
    </row>
    <row r="372" spans="1:1">
      <c r="A372" s="8">
        <v>371</v>
      </c>
    </row>
    <row r="373" spans="1:1">
      <c r="A373" s="8">
        <v>372</v>
      </c>
    </row>
    <row r="374" spans="1:1">
      <c r="A374" s="8">
        <v>373</v>
      </c>
    </row>
    <row r="375" spans="1:1">
      <c r="A375" s="8">
        <v>374</v>
      </c>
    </row>
    <row r="376" spans="1:1">
      <c r="A376" s="8">
        <v>375</v>
      </c>
    </row>
    <row r="377" spans="1:1">
      <c r="A377" s="8">
        <v>376</v>
      </c>
    </row>
    <row r="378" spans="1:1">
      <c r="A378" s="8">
        <v>377</v>
      </c>
    </row>
    <row r="379" spans="1:1">
      <c r="A379" s="8">
        <v>378</v>
      </c>
    </row>
    <row r="380" spans="1:1">
      <c r="A380" s="8">
        <v>379</v>
      </c>
    </row>
    <row r="381" spans="1:1">
      <c r="A381" s="8">
        <v>380</v>
      </c>
    </row>
    <row r="382" spans="1:1">
      <c r="A382" s="8">
        <v>381</v>
      </c>
    </row>
    <row r="383" spans="1:1">
      <c r="A383" s="8">
        <v>382</v>
      </c>
    </row>
    <row r="384" spans="1:1">
      <c r="A384" s="8">
        <v>383</v>
      </c>
    </row>
    <row r="385" spans="1:1">
      <c r="A385" s="8">
        <v>384</v>
      </c>
    </row>
    <row r="386" spans="1:1">
      <c r="A386" s="8">
        <v>385</v>
      </c>
    </row>
    <row r="387" spans="1:1">
      <c r="A387" s="8">
        <v>386</v>
      </c>
    </row>
    <row r="388" spans="1:1">
      <c r="A388" s="8">
        <v>387</v>
      </c>
    </row>
    <row r="389" spans="1:1">
      <c r="A389" s="8">
        <v>388</v>
      </c>
    </row>
    <row r="390" spans="1:1">
      <c r="A390" s="8">
        <v>389</v>
      </c>
    </row>
    <row r="391" spans="1:1">
      <c r="A391" s="8">
        <v>390</v>
      </c>
    </row>
    <row r="392" spans="1:1">
      <c r="A392" s="8">
        <v>391</v>
      </c>
    </row>
    <row r="393" spans="1:1">
      <c r="A393" s="8">
        <v>392</v>
      </c>
    </row>
    <row r="394" spans="1:1">
      <c r="A394" s="8">
        <v>393</v>
      </c>
    </row>
    <row r="395" spans="1:1">
      <c r="A395" s="8">
        <v>394</v>
      </c>
    </row>
    <row r="396" spans="1:1">
      <c r="A396" s="8">
        <v>395</v>
      </c>
    </row>
    <row r="397" spans="1:1">
      <c r="A397" s="8">
        <v>396</v>
      </c>
    </row>
    <row r="398" spans="1:1">
      <c r="A398" s="8">
        <v>397</v>
      </c>
    </row>
    <row r="399" spans="1:1">
      <c r="A399" s="8">
        <v>398</v>
      </c>
    </row>
    <row r="400" spans="1:1">
      <c r="A400" s="8">
        <v>399</v>
      </c>
    </row>
    <row r="401" spans="1:1">
      <c r="A401" s="8">
        <v>400</v>
      </c>
    </row>
    <row r="402" spans="1:1">
      <c r="A402" s="8">
        <v>401</v>
      </c>
    </row>
    <row r="403" spans="1:1">
      <c r="A403" s="8">
        <v>402</v>
      </c>
    </row>
    <row r="404" spans="1:1">
      <c r="A404" s="8">
        <v>403</v>
      </c>
    </row>
    <row r="405" spans="1:12">
      <c r="A405" s="8">
        <v>404</v>
      </c>
      <c r="B405" t="s">
        <v>1667</v>
      </c>
      <c r="C405" t="s">
        <v>14</v>
      </c>
      <c r="D405" t="s">
        <v>1668</v>
      </c>
      <c r="E405" t="s">
        <v>1669</v>
      </c>
      <c r="F405" t="s">
        <v>1670</v>
      </c>
      <c r="G405" s="6">
        <v>70</v>
      </c>
      <c r="H405" t="s">
        <v>1671</v>
      </c>
      <c r="I405" t="s">
        <v>172</v>
      </c>
      <c r="J405" s="7">
        <v>4.5</v>
      </c>
      <c r="L405" s="9">
        <v>45842</v>
      </c>
    </row>
    <row r="406" spans="1:12">
      <c r="A406" s="8">
        <v>405</v>
      </c>
      <c r="B406" t="s">
        <v>1672</v>
      </c>
      <c r="C406" t="s">
        <v>14</v>
      </c>
      <c r="D406" t="s">
        <v>1673</v>
      </c>
      <c r="E406" t="s">
        <v>1674</v>
      </c>
      <c r="F406" t="s">
        <v>1675</v>
      </c>
      <c r="G406" s="6">
        <v>51</v>
      </c>
      <c r="H406" t="s">
        <v>1676</v>
      </c>
      <c r="I406" t="s">
        <v>1677</v>
      </c>
      <c r="J406" s="7">
        <v>3.5</v>
      </c>
      <c r="K406" t="s">
        <v>708</v>
      </c>
      <c r="L406" s="9">
        <v>45842</v>
      </c>
    </row>
    <row r="407" spans="1:12">
      <c r="A407" s="8">
        <v>406</v>
      </c>
      <c r="B407" t="s">
        <v>780</v>
      </c>
      <c r="C407" t="s">
        <v>390</v>
      </c>
      <c r="D407" t="s">
        <v>1678</v>
      </c>
      <c r="E407" t="s">
        <v>1679</v>
      </c>
      <c r="F407" t="s">
        <v>1680</v>
      </c>
      <c r="G407" s="6">
        <v>64</v>
      </c>
      <c r="H407" t="s">
        <v>1681</v>
      </c>
      <c r="I407" t="s">
        <v>62</v>
      </c>
      <c r="J407" s="7">
        <v>5</v>
      </c>
      <c r="L407" s="9">
        <v>45842</v>
      </c>
    </row>
    <row r="408" spans="1:12">
      <c r="A408" s="8">
        <v>407</v>
      </c>
      <c r="B408" t="s">
        <v>438</v>
      </c>
      <c r="C408" t="s">
        <v>14</v>
      </c>
      <c r="D408" t="s">
        <v>1682</v>
      </c>
      <c r="E408" t="s">
        <v>1683</v>
      </c>
      <c r="F408" t="s">
        <v>1684</v>
      </c>
      <c r="G408" s="6">
        <v>25.4</v>
      </c>
      <c r="H408" t="s">
        <v>1685</v>
      </c>
      <c r="I408" t="s">
        <v>1686</v>
      </c>
      <c r="J408" s="7">
        <v>4</v>
      </c>
      <c r="K408" t="s">
        <v>1232</v>
      </c>
      <c r="L408" s="9">
        <v>45842</v>
      </c>
    </row>
    <row r="409" spans="1:12">
      <c r="A409" s="8">
        <v>408</v>
      </c>
      <c r="B409" t="s">
        <v>1667</v>
      </c>
      <c r="C409" t="s">
        <v>390</v>
      </c>
      <c r="D409" t="s">
        <v>1687</v>
      </c>
      <c r="E409" t="s">
        <v>1688</v>
      </c>
      <c r="F409" t="s">
        <v>1689</v>
      </c>
      <c r="G409" s="6">
        <v>98</v>
      </c>
      <c r="H409" t="s">
        <v>1690</v>
      </c>
      <c r="I409" t="s">
        <v>1691</v>
      </c>
      <c r="J409" s="7">
        <v>4.5</v>
      </c>
      <c r="L409" s="9">
        <v>45849</v>
      </c>
    </row>
    <row r="410" spans="1:12">
      <c r="A410" s="8">
        <v>409</v>
      </c>
      <c r="B410" t="s">
        <v>1692</v>
      </c>
      <c r="C410" t="s">
        <v>14</v>
      </c>
      <c r="D410" t="s">
        <v>1693</v>
      </c>
      <c r="E410" t="s">
        <v>1694</v>
      </c>
      <c r="F410" t="s">
        <v>1695</v>
      </c>
      <c r="G410" s="6">
        <v>41</v>
      </c>
      <c r="H410" t="s">
        <v>1342</v>
      </c>
      <c r="I410" t="s">
        <v>325</v>
      </c>
      <c r="J410" s="7" t="s">
        <v>144</v>
      </c>
      <c r="L410" s="9">
        <v>45849</v>
      </c>
    </row>
    <row r="411" spans="1:12">
      <c r="A411" s="8">
        <v>410</v>
      </c>
      <c r="B411" t="s">
        <v>803</v>
      </c>
      <c r="C411" t="s">
        <v>1218</v>
      </c>
      <c r="D411" t="s">
        <v>1696</v>
      </c>
      <c r="E411" t="s">
        <v>1697</v>
      </c>
      <c r="F411" t="s">
        <v>1698</v>
      </c>
      <c r="G411" s="6">
        <v>337.5</v>
      </c>
      <c r="H411" t="s">
        <v>1699</v>
      </c>
      <c r="I411" t="s">
        <v>1700</v>
      </c>
      <c r="J411" s="7" t="s">
        <v>455</v>
      </c>
      <c r="L411" s="9">
        <v>45849</v>
      </c>
    </row>
    <row r="412" spans="1:12">
      <c r="A412" s="8">
        <v>411</v>
      </c>
      <c r="B412" t="s">
        <v>85</v>
      </c>
      <c r="C412" t="s">
        <v>1218</v>
      </c>
      <c r="D412" t="s">
        <v>1701</v>
      </c>
      <c r="E412" t="s">
        <v>1702</v>
      </c>
      <c r="F412" t="s">
        <v>1703</v>
      </c>
      <c r="G412" s="6">
        <v>366.7</v>
      </c>
      <c r="H412" t="s">
        <v>1704</v>
      </c>
      <c r="I412" t="s">
        <v>1705</v>
      </c>
      <c r="J412" s="7">
        <v>4</v>
      </c>
      <c r="L412" s="9">
        <v>45849</v>
      </c>
    </row>
    <row r="413" spans="1:12">
      <c r="A413" s="8">
        <v>412</v>
      </c>
      <c r="B413" t="s">
        <v>869</v>
      </c>
      <c r="C413" t="s">
        <v>390</v>
      </c>
      <c r="D413" t="s">
        <v>1706</v>
      </c>
      <c r="E413" t="s">
        <v>1707</v>
      </c>
      <c r="F413" t="s">
        <v>1708</v>
      </c>
      <c r="G413" s="6">
        <v>159.2</v>
      </c>
      <c r="H413" t="s">
        <v>1709</v>
      </c>
      <c r="I413" t="s">
        <v>1710</v>
      </c>
      <c r="J413" s="7">
        <v>3.5</v>
      </c>
      <c r="K413" t="s">
        <v>533</v>
      </c>
      <c r="L413" s="9">
        <v>45850</v>
      </c>
    </row>
    <row r="414" spans="1:12">
      <c r="A414" s="8">
        <v>413</v>
      </c>
      <c r="B414" t="s">
        <v>803</v>
      </c>
      <c r="C414" t="s">
        <v>1218</v>
      </c>
      <c r="D414" t="s">
        <v>1711</v>
      </c>
      <c r="E414" t="s">
        <v>1712</v>
      </c>
      <c r="F414" t="s">
        <v>1713</v>
      </c>
      <c r="G414" s="6">
        <v>378.1</v>
      </c>
      <c r="H414" t="s">
        <v>1714</v>
      </c>
      <c r="I414" t="s">
        <v>260</v>
      </c>
      <c r="J414" s="7" t="s">
        <v>144</v>
      </c>
      <c r="L414" s="9">
        <v>45854</v>
      </c>
    </row>
    <row r="415" spans="1:12">
      <c r="A415" s="8">
        <v>414</v>
      </c>
      <c r="B415" t="s">
        <v>85</v>
      </c>
      <c r="C415" t="s">
        <v>1715</v>
      </c>
      <c r="D415" t="s">
        <v>1716</v>
      </c>
      <c r="E415" t="s">
        <v>1717</v>
      </c>
      <c r="F415" t="s">
        <v>1718</v>
      </c>
      <c r="G415" s="6">
        <v>196.7</v>
      </c>
      <c r="H415" t="s">
        <v>1719</v>
      </c>
      <c r="I415" t="s">
        <v>1720</v>
      </c>
      <c r="J415" s="7" t="s">
        <v>20</v>
      </c>
      <c r="L415" s="9">
        <v>45854</v>
      </c>
    </row>
    <row r="416" spans="1:12">
      <c r="A416" s="8">
        <v>415</v>
      </c>
      <c r="B416" t="s">
        <v>139</v>
      </c>
      <c r="C416" t="s">
        <v>667</v>
      </c>
      <c r="D416" t="s">
        <v>668</v>
      </c>
      <c r="E416" t="s">
        <v>1721</v>
      </c>
      <c r="F416" t="s">
        <v>1722</v>
      </c>
      <c r="G416" s="6">
        <v>66</v>
      </c>
      <c r="H416" t="s">
        <v>1723</v>
      </c>
      <c r="I416" t="s">
        <v>1724</v>
      </c>
      <c r="J416" s="7" t="s">
        <v>790</v>
      </c>
      <c r="L416" s="9">
        <v>45854</v>
      </c>
    </row>
    <row r="417" spans="1:12">
      <c r="A417" s="8">
        <v>416</v>
      </c>
      <c r="B417" t="s">
        <v>1725</v>
      </c>
      <c r="C417" t="s">
        <v>14</v>
      </c>
      <c r="D417" t="s">
        <v>1726</v>
      </c>
      <c r="E417" t="s">
        <v>1727</v>
      </c>
      <c r="F417" t="s">
        <v>1728</v>
      </c>
      <c r="G417" s="6">
        <v>40</v>
      </c>
      <c r="H417" t="s">
        <v>1729</v>
      </c>
      <c r="I417" t="s">
        <v>1730</v>
      </c>
      <c r="J417" s="7" t="s">
        <v>144</v>
      </c>
      <c r="L417" s="9">
        <v>45854</v>
      </c>
    </row>
    <row r="418" spans="1:12">
      <c r="A418" s="8">
        <v>417</v>
      </c>
      <c r="B418" t="s">
        <v>85</v>
      </c>
      <c r="C418" t="s">
        <v>390</v>
      </c>
      <c r="D418" t="s">
        <v>1731</v>
      </c>
      <c r="E418" t="s">
        <v>1732</v>
      </c>
      <c r="F418" t="s">
        <v>1718</v>
      </c>
      <c r="G418" s="6">
        <v>196.7</v>
      </c>
      <c r="H418" t="s">
        <v>1733</v>
      </c>
      <c r="I418" t="s">
        <v>260</v>
      </c>
      <c r="J418" s="7" t="s">
        <v>144</v>
      </c>
      <c r="L418" s="9">
        <v>45852</v>
      </c>
    </row>
    <row r="419" spans="1:12">
      <c r="A419" s="8">
        <v>418</v>
      </c>
      <c r="B419" t="s">
        <v>812</v>
      </c>
      <c r="C419" t="s">
        <v>14</v>
      </c>
      <c r="D419" t="s">
        <v>1734</v>
      </c>
      <c r="E419" t="s">
        <v>1735</v>
      </c>
      <c r="F419" t="s">
        <v>1736</v>
      </c>
      <c r="G419" s="6">
        <v>65</v>
      </c>
      <c r="H419" t="s">
        <v>1737</v>
      </c>
      <c r="I419" t="s">
        <v>325</v>
      </c>
      <c r="J419" s="7">
        <v>4.5</v>
      </c>
      <c r="L419" s="9">
        <v>45852</v>
      </c>
    </row>
    <row r="420" spans="1:12">
      <c r="A420" s="8">
        <v>419</v>
      </c>
      <c r="B420" t="s">
        <v>1692</v>
      </c>
      <c r="C420" t="s">
        <v>721</v>
      </c>
      <c r="D420" t="s">
        <v>1738</v>
      </c>
      <c r="E420" t="s">
        <v>1739</v>
      </c>
      <c r="F420" t="s">
        <v>1695</v>
      </c>
      <c r="G420" s="6">
        <v>41</v>
      </c>
      <c r="H420" t="s">
        <v>1382</v>
      </c>
      <c r="I420" t="s">
        <v>1740</v>
      </c>
      <c r="J420" s="7">
        <v>4</v>
      </c>
      <c r="L420" s="9">
        <v>45852</v>
      </c>
    </row>
    <row r="421" spans="1:12">
      <c r="A421" s="8">
        <v>420</v>
      </c>
      <c r="B421" t="s">
        <v>1692</v>
      </c>
      <c r="C421" t="s">
        <v>14</v>
      </c>
      <c r="D421" t="s">
        <v>1668</v>
      </c>
      <c r="E421" t="s">
        <v>1741</v>
      </c>
      <c r="F421" t="s">
        <v>1695</v>
      </c>
      <c r="G421" s="6">
        <v>41</v>
      </c>
      <c r="H421" t="s">
        <v>1742</v>
      </c>
      <c r="I421" t="s">
        <v>1743</v>
      </c>
      <c r="J421" s="7" t="s">
        <v>144</v>
      </c>
      <c r="L421" s="9">
        <v>45852</v>
      </c>
    </row>
    <row r="422" spans="1:12">
      <c r="A422" s="8">
        <v>421</v>
      </c>
      <c r="B422" t="s">
        <v>812</v>
      </c>
      <c r="C422" t="s">
        <v>1135</v>
      </c>
      <c r="D422" t="s">
        <v>1744</v>
      </c>
      <c r="E422" t="s">
        <v>1745</v>
      </c>
      <c r="F422" t="s">
        <v>1746</v>
      </c>
      <c r="G422" s="6">
        <v>128</v>
      </c>
      <c r="H422" t="s">
        <v>1747</v>
      </c>
      <c r="I422" t="s">
        <v>1748</v>
      </c>
      <c r="J422" s="10">
        <v>4.5</v>
      </c>
      <c r="K422" t="s">
        <v>1749</v>
      </c>
      <c r="L422" s="9">
        <v>45859</v>
      </c>
    </row>
    <row r="423" spans="1:12">
      <c r="A423" s="8">
        <v>422</v>
      </c>
      <c r="B423" t="s">
        <v>246</v>
      </c>
      <c r="C423" t="s">
        <v>14</v>
      </c>
      <c r="D423" t="s">
        <v>1750</v>
      </c>
      <c r="E423" t="s">
        <v>1751</v>
      </c>
      <c r="F423" t="s">
        <v>1752</v>
      </c>
      <c r="G423" s="6">
        <v>85</v>
      </c>
      <c r="H423" t="s">
        <v>1753</v>
      </c>
      <c r="I423" t="s">
        <v>1754</v>
      </c>
      <c r="J423" s="7" t="s">
        <v>20</v>
      </c>
      <c r="L423" s="9">
        <v>45868</v>
      </c>
    </row>
    <row r="424" spans="1:12">
      <c r="A424" s="8">
        <v>423</v>
      </c>
      <c r="B424" t="s">
        <v>1755</v>
      </c>
      <c r="C424" t="s">
        <v>14</v>
      </c>
      <c r="D424" t="s">
        <v>1693</v>
      </c>
      <c r="E424" t="s">
        <v>1756</v>
      </c>
      <c r="F424" t="s">
        <v>1757</v>
      </c>
      <c r="G424" s="6">
        <v>50</v>
      </c>
      <c r="H424" t="s">
        <v>1758</v>
      </c>
      <c r="I424" t="s">
        <v>1759</v>
      </c>
      <c r="J424" s="7" t="s">
        <v>144</v>
      </c>
      <c r="L424" s="9">
        <v>45869</v>
      </c>
    </row>
    <row r="425" spans="1:1">
      <c r="A425" s="8">
        <v>424</v>
      </c>
    </row>
    <row r="426" spans="1:1">
      <c r="A426" s="8">
        <v>425</v>
      </c>
    </row>
    <row r="427" spans="1:1">
      <c r="A427" s="8">
        <v>426</v>
      </c>
    </row>
    <row r="428" spans="1:1">
      <c r="A428" s="8">
        <v>427</v>
      </c>
    </row>
    <row r="429" spans="1:1">
      <c r="A429" s="8">
        <v>428</v>
      </c>
    </row>
    <row r="430" spans="1:1">
      <c r="A430" s="8">
        <v>429</v>
      </c>
    </row>
    <row r="431" spans="1:1">
      <c r="A431" s="8">
        <v>430</v>
      </c>
    </row>
    <row r="432" spans="1:1">
      <c r="A432" s="8">
        <v>431</v>
      </c>
    </row>
    <row r="433" spans="1:1">
      <c r="A433" s="8">
        <v>432</v>
      </c>
    </row>
    <row r="434" spans="1:1">
      <c r="A434" s="8">
        <v>433</v>
      </c>
    </row>
    <row r="435" spans="1:1">
      <c r="A435" s="8">
        <v>434</v>
      </c>
    </row>
    <row r="436" spans="1:1">
      <c r="A436" s="8">
        <v>435</v>
      </c>
    </row>
    <row r="437" spans="1:1">
      <c r="A437" s="8">
        <v>436</v>
      </c>
    </row>
    <row r="438" spans="1:1">
      <c r="A438" s="8">
        <v>437</v>
      </c>
    </row>
    <row r="439" spans="1:1">
      <c r="A439" s="8">
        <v>438</v>
      </c>
    </row>
    <row r="440" spans="1:1">
      <c r="A440" s="8">
        <v>439</v>
      </c>
    </row>
    <row r="441" spans="1:1">
      <c r="A441" s="8">
        <v>440</v>
      </c>
    </row>
    <row r="442" spans="1:1">
      <c r="A442" s="8">
        <v>441</v>
      </c>
    </row>
    <row r="443" spans="1:1">
      <c r="A443" s="8">
        <v>442</v>
      </c>
    </row>
    <row r="444" spans="1:1">
      <c r="A444" s="8">
        <v>443</v>
      </c>
    </row>
    <row r="445" spans="1:1">
      <c r="A445" s="8">
        <v>444</v>
      </c>
    </row>
    <row r="446" spans="1:1">
      <c r="A446" s="8">
        <v>445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60" zoomScaleNormal="60" topLeftCell="A12" workbookViewId="0">
      <selection activeCell="P34" sqref="P34"/>
    </sheetView>
  </sheetViews>
  <sheetFormatPr defaultColWidth="9.23076923076923" defaultRowHeight="16.8" outlineLevelRow="5" outlineLevelCol="5"/>
  <cols>
    <col min="1" max="5" width="9.69230769230769"/>
  </cols>
  <sheetData>
    <row r="1" spans="1:6">
      <c r="A1" t="s">
        <v>1760</v>
      </c>
      <c r="B1" t="s">
        <v>1761</v>
      </c>
      <c r="C1" t="s">
        <v>1762</v>
      </c>
      <c r="D1" t="s">
        <v>1763</v>
      </c>
      <c r="E1" t="s">
        <v>1764</v>
      </c>
      <c r="F1" t="s">
        <v>1765</v>
      </c>
    </row>
    <row r="2" spans="1:6">
      <c r="A2">
        <v>4</v>
      </c>
      <c r="B2">
        <v>3</v>
      </c>
      <c r="C2">
        <v>3</v>
      </c>
      <c r="D2">
        <v>3</v>
      </c>
      <c r="E2">
        <v>3</v>
      </c>
      <c r="F2">
        <v>5</v>
      </c>
    </row>
    <row r="5" spans="1:5">
      <c r="A5" t="s">
        <v>1765</v>
      </c>
      <c r="B5" t="s">
        <v>1205</v>
      </c>
      <c r="C5" t="s">
        <v>868</v>
      </c>
      <c r="D5" t="s">
        <v>567</v>
      </c>
      <c r="E5" t="s">
        <v>479</v>
      </c>
    </row>
    <row r="6" spans="1:5">
      <c r="A6" s="5">
        <v>2</v>
      </c>
      <c r="B6" s="5">
        <v>4</v>
      </c>
      <c r="C6" s="5">
        <v>5</v>
      </c>
      <c r="D6" s="5">
        <v>3</v>
      </c>
      <c r="E6" s="5">
        <v>4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opLeftCell="D2" workbookViewId="0">
      <selection activeCell="N13" sqref="N13"/>
    </sheetView>
  </sheetViews>
  <sheetFormatPr defaultColWidth="9.23076923076923" defaultRowHeight="16.8"/>
  <cols>
    <col min="1" max="1" width="18.0769230769231"/>
    <col min="2" max="2" width="12.9230769230769"/>
    <col min="3" max="6" width="12.3076923076923"/>
    <col min="7" max="7" width="12.9230769230769"/>
    <col min="8" max="20" width="12.3076923076923"/>
    <col min="21" max="21" width="6"/>
  </cols>
  <sheetData>
    <row r="1" spans="2:2">
      <c r="B1" t="s">
        <v>9</v>
      </c>
    </row>
    <row r="2" spans="2:21">
      <c r="B2">
        <v>1</v>
      </c>
      <c r="C2">
        <v>1.5</v>
      </c>
      <c r="D2">
        <v>2</v>
      </c>
      <c r="E2">
        <v>2.5</v>
      </c>
      <c r="F2">
        <v>3</v>
      </c>
      <c r="G2">
        <v>3.5</v>
      </c>
      <c r="H2">
        <v>4</v>
      </c>
      <c r="I2">
        <v>4.5</v>
      </c>
      <c r="J2">
        <v>5</v>
      </c>
      <c r="K2" t="s">
        <v>152</v>
      </c>
      <c r="L2" t="s">
        <v>790</v>
      </c>
      <c r="M2" t="s">
        <v>502</v>
      </c>
      <c r="N2" t="s">
        <v>121</v>
      </c>
      <c r="O2" t="s">
        <v>20</v>
      </c>
      <c r="P2" t="s">
        <v>455</v>
      </c>
      <c r="Q2" t="s">
        <v>1124</v>
      </c>
      <c r="R2" t="s">
        <v>144</v>
      </c>
      <c r="S2" t="s">
        <v>603</v>
      </c>
      <c r="T2" t="s">
        <v>1766</v>
      </c>
      <c r="U2" t="s">
        <v>1767</v>
      </c>
    </row>
    <row r="3" spans="1:21">
      <c r="A3" t="s">
        <v>1768</v>
      </c>
      <c r="B3">
        <v>5</v>
      </c>
      <c r="C3">
        <v>2</v>
      </c>
      <c r="D3">
        <v>7</v>
      </c>
      <c r="E3">
        <v>14</v>
      </c>
      <c r="F3">
        <v>19</v>
      </c>
      <c r="G3">
        <v>43</v>
      </c>
      <c r="H3">
        <v>79</v>
      </c>
      <c r="I3">
        <v>41</v>
      </c>
      <c r="J3">
        <v>11</v>
      </c>
      <c r="K3">
        <v>5</v>
      </c>
      <c r="L3">
        <v>5</v>
      </c>
      <c r="M3">
        <v>7</v>
      </c>
      <c r="N3">
        <v>4</v>
      </c>
      <c r="O3">
        <v>28</v>
      </c>
      <c r="P3">
        <v>16</v>
      </c>
      <c r="Q3">
        <v>5</v>
      </c>
      <c r="R3">
        <v>67</v>
      </c>
      <c r="S3">
        <v>9</v>
      </c>
      <c r="U3">
        <v>367</v>
      </c>
    </row>
    <row r="7" spans="1:19">
      <c r="A7" t="s">
        <v>1769</v>
      </c>
      <c r="B7" s="1">
        <v>1</v>
      </c>
      <c r="C7" s="1">
        <v>1.5</v>
      </c>
      <c r="D7" s="1">
        <v>2</v>
      </c>
      <c r="E7" s="1">
        <v>2.5</v>
      </c>
      <c r="F7" s="3" t="s">
        <v>152</v>
      </c>
      <c r="G7" s="1">
        <v>3</v>
      </c>
      <c r="H7" s="1" t="s">
        <v>121</v>
      </c>
      <c r="I7" t="s">
        <v>790</v>
      </c>
      <c r="J7">
        <v>3.5</v>
      </c>
      <c r="K7" t="s">
        <v>502</v>
      </c>
      <c r="L7" s="1" t="s">
        <v>20</v>
      </c>
      <c r="M7" s="1">
        <v>4</v>
      </c>
      <c r="N7" s="1" t="s">
        <v>144</v>
      </c>
      <c r="O7" s="1" t="s">
        <v>455</v>
      </c>
      <c r="P7" s="1">
        <v>4.5</v>
      </c>
      <c r="Q7" s="1" t="s">
        <v>1124</v>
      </c>
      <c r="R7" s="1" t="s">
        <v>603</v>
      </c>
      <c r="S7" s="1">
        <v>5</v>
      </c>
    </row>
    <row r="8" spans="1:21">
      <c r="A8" t="s">
        <v>1770</v>
      </c>
      <c r="B8" s="1">
        <v>5</v>
      </c>
      <c r="C8" s="1">
        <v>2</v>
      </c>
      <c r="D8" s="1">
        <v>7</v>
      </c>
      <c r="E8" s="1">
        <v>14</v>
      </c>
      <c r="F8" s="1">
        <v>5</v>
      </c>
      <c r="G8" s="1">
        <v>19</v>
      </c>
      <c r="H8" s="1">
        <v>4</v>
      </c>
      <c r="I8">
        <v>5</v>
      </c>
      <c r="J8">
        <v>43</v>
      </c>
      <c r="K8">
        <v>7</v>
      </c>
      <c r="L8" s="1">
        <v>28</v>
      </c>
      <c r="M8" s="1">
        <v>79</v>
      </c>
      <c r="N8" s="1">
        <v>67</v>
      </c>
      <c r="O8" s="1">
        <v>16</v>
      </c>
      <c r="P8" s="1">
        <v>41</v>
      </c>
      <c r="Q8" s="1">
        <v>5</v>
      </c>
      <c r="R8" s="1">
        <v>9</v>
      </c>
      <c r="S8" s="1">
        <v>11</v>
      </c>
      <c r="U8">
        <f>SUM(B8:S8)</f>
        <v>367</v>
      </c>
    </row>
    <row r="9" spans="1:19">
      <c r="A9" t="s">
        <v>1771</v>
      </c>
      <c r="B9" s="2">
        <f>B8/$U$8</f>
        <v>0.0136239782016349</v>
      </c>
      <c r="C9" s="2">
        <f t="shared" ref="C9:Q9" si="0">C8/$U$8</f>
        <v>0.00544959128065395</v>
      </c>
      <c r="D9" s="2">
        <f t="shared" si="0"/>
        <v>0.0190735694822888</v>
      </c>
      <c r="E9" s="2">
        <f t="shared" si="0"/>
        <v>0.0381471389645777</v>
      </c>
      <c r="F9" s="2">
        <f t="shared" si="0"/>
        <v>0.0136239782016349</v>
      </c>
      <c r="G9" s="2">
        <f t="shared" si="0"/>
        <v>0.0517711171662125</v>
      </c>
      <c r="H9" s="2">
        <f t="shared" si="0"/>
        <v>0.0108991825613079</v>
      </c>
      <c r="I9" s="2">
        <f t="shared" si="0"/>
        <v>0.0136239782016349</v>
      </c>
      <c r="J9" s="2">
        <f t="shared" si="0"/>
        <v>0.11716621253406</v>
      </c>
      <c r="K9" s="2">
        <f t="shared" si="0"/>
        <v>0.0190735694822888</v>
      </c>
      <c r="L9" s="2">
        <f t="shared" si="0"/>
        <v>0.0762942779291553</v>
      </c>
      <c r="M9" s="2">
        <f t="shared" si="0"/>
        <v>0.215258855585831</v>
      </c>
      <c r="N9" s="2">
        <f t="shared" si="0"/>
        <v>0.182561307901907</v>
      </c>
      <c r="O9" s="2">
        <f t="shared" si="0"/>
        <v>0.0435967302452316</v>
      </c>
      <c r="P9" s="2">
        <f t="shared" si="0"/>
        <v>0.111716621253406</v>
      </c>
      <c r="Q9" s="2">
        <f t="shared" si="0"/>
        <v>0.0136239782016349</v>
      </c>
      <c r="R9" s="2">
        <f>R8/$U$8</f>
        <v>0.0245231607629428</v>
      </c>
      <c r="S9" s="2">
        <f>S8/$U$8</f>
        <v>0.0299727520435967</v>
      </c>
    </row>
    <row r="11" spans="6:10">
      <c r="F11" t="s">
        <v>1769</v>
      </c>
      <c r="G11" s="1" t="s">
        <v>1772</v>
      </c>
      <c r="H11" s="1">
        <v>3.5</v>
      </c>
      <c r="I11" s="1">
        <v>4</v>
      </c>
      <c r="J11" s="1" t="s">
        <v>1773</v>
      </c>
    </row>
    <row r="12" spans="6:10">
      <c r="F12" t="s">
        <v>1770</v>
      </c>
      <c r="G12" s="1">
        <f>SUM(B8:G8)</f>
        <v>52</v>
      </c>
      <c r="H12" s="1">
        <f>I8+J8+K8</f>
        <v>55</v>
      </c>
      <c r="I12" s="1">
        <f>L8+M8+N8</f>
        <v>174</v>
      </c>
      <c r="J12" s="1">
        <f>P8+O8+Q8+R8+S8</f>
        <v>82</v>
      </c>
    </row>
    <row r="13" spans="6:10">
      <c r="F13" t="s">
        <v>1771</v>
      </c>
      <c r="G13" s="4">
        <f>G12/$U$8</f>
        <v>0.141689373297003</v>
      </c>
      <c r="H13" s="4">
        <f>H12/$U$8</f>
        <v>0.149863760217984</v>
      </c>
      <c r="I13" s="4">
        <f>I12/$U$8</f>
        <v>0.474114441416894</v>
      </c>
      <c r="J13" s="4">
        <f>J12/$U$8</f>
        <v>0.223433242506812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意式</vt:lpstr>
      <vt:lpstr>手冲</vt:lpstr>
      <vt:lpstr>评分图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stt</dc:creator>
  <cp:lastModifiedBy>WPS_1752943082</cp:lastModifiedBy>
  <dcterms:created xsi:type="dcterms:W3CDTF">2025-07-20T00:10:48Z</dcterms:created>
  <dcterms:modified xsi:type="dcterms:W3CDTF">2025-08-01T09:48:18Z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EC05C597F246B48088C37B6867BE5626_41</vt:lpwstr>
  </property>
  <property fmtid="{D5CDD505-2E9C-101B-9397-08002B2CF9AE}" pid="3" name="KSOProductBuildVer">
    <vt:lpwstr>2052-12.1.21861.21861</vt:lpwstr>
  </property>
</Properties>
</file>